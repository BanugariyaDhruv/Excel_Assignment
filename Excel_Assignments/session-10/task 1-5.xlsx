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10/"/>
    </mc:Choice>
  </mc:AlternateContent>
  <xr:revisionPtr revIDLastSave="0" documentId="8_{07B55081-7AAF-48A8-949B-F15963F14824}" xr6:coauthVersionLast="47" xr6:coauthVersionMax="47" xr10:uidLastSave="{00000000-0000-0000-0000-000000000000}"/>
  <bookViews>
    <workbookView xWindow="-108" yWindow="-108" windowWidth="23256" windowHeight="12456" activeTab="4" xr2:uid="{31539D65-E6C1-4D82-B9DE-345B2D1E4E97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2" i="5"/>
  <c r="G3" i="4"/>
  <c r="G2" i="4"/>
  <c r="G3" i="3"/>
  <c r="G4" i="3"/>
  <c r="G5" i="3"/>
  <c r="G2" i="3"/>
  <c r="G2" i="2"/>
  <c r="G3" i="1"/>
  <c r="G4" i="1"/>
  <c r="G5" i="1"/>
  <c r="G6" i="1"/>
  <c r="G2" i="1"/>
</calcChain>
</file>

<file path=xl/sharedStrings.xml><?xml version="1.0" encoding="utf-8"?>
<sst xmlns="http://schemas.openxmlformats.org/spreadsheetml/2006/main" count="143" uniqueCount="107">
  <si>
    <t>Product ID</t>
  </si>
  <si>
    <t>Product Name</t>
  </si>
  <si>
    <t>Category</t>
  </si>
  <si>
    <t>Price (₹)</t>
  </si>
  <si>
    <t>F101</t>
  </si>
  <si>
    <t>Samsung Galaxy S24</t>
  </si>
  <si>
    <t>Mobile</t>
  </si>
  <si>
    <t>F102</t>
  </si>
  <si>
    <t>iPhone 15</t>
  </si>
  <si>
    <t>F103</t>
  </si>
  <si>
    <t>HP Laptop</t>
  </si>
  <si>
    <t>Electronics</t>
  </si>
  <si>
    <t>F104</t>
  </si>
  <si>
    <t>Boat Headphones</t>
  </si>
  <si>
    <t>Accessories</t>
  </si>
  <si>
    <t>F105</t>
  </si>
  <si>
    <t>Redmi Note 13</t>
  </si>
  <si>
    <t>F106</t>
  </si>
  <si>
    <t>Dell Keyboard</t>
  </si>
  <si>
    <t>F107</t>
  </si>
  <si>
    <t>Sony Smart TV</t>
  </si>
  <si>
    <t>F108</t>
  </si>
  <si>
    <t>Apple AirPods</t>
  </si>
  <si>
    <t>F109</t>
  </si>
  <si>
    <t>Lenovo Laptop</t>
  </si>
  <si>
    <t>F110</t>
  </si>
  <si>
    <t>Mi Power Bank</t>
  </si>
  <si>
    <t>Order ID</t>
  </si>
  <si>
    <t>Restaurant Name</t>
  </si>
  <si>
    <t>Order Date</t>
  </si>
  <si>
    <t>Amount (₹)</t>
  </si>
  <si>
    <t>Z101</t>
  </si>
  <si>
    <t>Domino's Pizza</t>
  </si>
  <si>
    <t>Z102</t>
  </si>
  <si>
    <t>McDonald's</t>
  </si>
  <si>
    <t>Z103</t>
  </si>
  <si>
    <t>Z104</t>
  </si>
  <si>
    <t>Subway</t>
  </si>
  <si>
    <t>Z105</t>
  </si>
  <si>
    <t>Z106</t>
  </si>
  <si>
    <t>Z107</t>
  </si>
  <si>
    <t>Z108</t>
  </si>
  <si>
    <t>Z109</t>
  </si>
  <si>
    <t>Z110</t>
  </si>
  <si>
    <t>Last Order Amount</t>
  </si>
  <si>
    <t>Playlist Name</t>
  </si>
  <si>
    <t>Genre</t>
  </si>
  <si>
    <t>Created By</t>
  </si>
  <si>
    <t>Number of Songs</t>
  </si>
  <si>
    <t>Chill Vibes</t>
  </si>
  <si>
    <t>Lo-fi</t>
  </si>
  <si>
    <t>Rahul</t>
  </si>
  <si>
    <t>Workout Hits</t>
  </si>
  <si>
    <t>Pop</t>
  </si>
  <si>
    <t>Priya</t>
  </si>
  <si>
    <t>Rock Legends</t>
  </si>
  <si>
    <t>Rock</t>
  </si>
  <si>
    <t>Amit</t>
  </si>
  <si>
    <t>Peaceful Piano</t>
  </si>
  <si>
    <t>Classical</t>
  </si>
  <si>
    <t>Neha</t>
  </si>
  <si>
    <t>Desi Beats</t>
  </si>
  <si>
    <t>Bollywood</t>
  </si>
  <si>
    <t>Karan</t>
  </si>
  <si>
    <t>Late Night Jazz</t>
  </si>
  <si>
    <t>Jazz</t>
  </si>
  <si>
    <t>Riya</t>
  </si>
  <si>
    <t>Genre to Search</t>
  </si>
  <si>
    <t>EDM</t>
  </si>
  <si>
    <t>Booking ID</t>
  </si>
  <si>
    <t>Passenger Name</t>
  </si>
  <si>
    <t>Train Number</t>
  </si>
  <si>
    <t>Status</t>
  </si>
  <si>
    <t>IR101</t>
  </si>
  <si>
    <t>Rahul Shah</t>
  </si>
  <si>
    <t>Confirmed</t>
  </si>
  <si>
    <t>IR102</t>
  </si>
  <si>
    <t>Priya Patel</t>
  </si>
  <si>
    <t>Waiting</t>
  </si>
  <si>
    <t>IR103</t>
  </si>
  <si>
    <t>Amit Kumar</t>
  </si>
  <si>
    <t>IR104</t>
  </si>
  <si>
    <t>Neha Joshi</t>
  </si>
  <si>
    <t>RAC</t>
  </si>
  <si>
    <t>IR105</t>
  </si>
  <si>
    <t>Karan Mehta</t>
  </si>
  <si>
    <t>Cancelled</t>
  </si>
  <si>
    <t>IR106</t>
  </si>
  <si>
    <t>Riya Sharma</t>
  </si>
  <si>
    <t>Booking ID to Search</t>
  </si>
  <si>
    <t>Booking Status</t>
  </si>
  <si>
    <t>IR999</t>
  </si>
  <si>
    <t>Delivery Date</t>
  </si>
  <si>
    <t>M101</t>
  </si>
  <si>
    <t>Nike Shoes</t>
  </si>
  <si>
    <t>M102</t>
  </si>
  <si>
    <t>Puma T-Shirt</t>
  </si>
  <si>
    <t>M103</t>
  </si>
  <si>
    <t>Levi's Jeans</t>
  </si>
  <si>
    <t>M104</t>
  </si>
  <si>
    <t>Adidas Hoodie</t>
  </si>
  <si>
    <t>M105</t>
  </si>
  <si>
    <t>Roadster Jacket</t>
  </si>
  <si>
    <t>M106</t>
  </si>
  <si>
    <t>HRX Track Pants</t>
  </si>
  <si>
    <t>Order ID to Search</t>
  </si>
  <si>
    <t>M999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</si>
</sst>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0A5F-4F61-426A-9EF8-88DD1A313E6A}">
  <dimension ref="A1:G11"/>
  <sheetViews>
    <sheetView workbookViewId="0">
      <selection activeCell="F9" sqref="F9"/>
    </sheetView>
  </sheetViews>
  <sheetFormatPr defaultRowHeight="14.4" x14ac:dyDescent="0.3"/>
  <cols>
    <col min="1" max="1" width="17.77734375" customWidth="1"/>
    <col min="2" max="2" width="15.33203125" customWidth="1"/>
    <col min="3" max="3" width="12.77734375" customWidth="1"/>
    <col min="4" max="4" width="11.5546875" customWidth="1"/>
    <col min="6" max="6" width="14.5546875" customWidth="1"/>
    <col min="7" max="7" width="15.66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3" t="s">
        <v>3</v>
      </c>
      <c r="F1" s="1" t="s">
        <v>0</v>
      </c>
      <c r="G1" s="1" t="s">
        <v>1</v>
      </c>
    </row>
    <row r="2" spans="1:7" ht="28.8" x14ac:dyDescent="0.3">
      <c r="A2" s="4" t="s">
        <v>4</v>
      </c>
      <c r="B2" s="4" t="s">
        <v>5</v>
      </c>
      <c r="C2" s="4" t="s">
        <v>6</v>
      </c>
      <c r="D2" s="2">
        <v>74999</v>
      </c>
      <c r="F2" s="4" t="s">
        <v>9</v>
      </c>
      <c r="G2" s="4" t="str">
        <f>_xlfn.XLOOKUP(F2,$A$2:$A$11,$B$2:$B$11)</f>
        <v>HP Laptop</v>
      </c>
    </row>
    <row r="3" spans="1:7" ht="28.8" x14ac:dyDescent="0.3">
      <c r="A3" s="4" t="s">
        <v>7</v>
      </c>
      <c r="B3" s="4" t="s">
        <v>8</v>
      </c>
      <c r="C3" s="4" t="s">
        <v>6</v>
      </c>
      <c r="D3" s="2">
        <v>59999</v>
      </c>
      <c r="F3" s="4" t="s">
        <v>17</v>
      </c>
      <c r="G3" s="4" t="str">
        <f t="shared" ref="G3:G6" si="0">_xlfn.XLOOKUP(F3,$A$2:$A$11,$B$2:$B$11)</f>
        <v>Dell Keyboard</v>
      </c>
    </row>
    <row r="4" spans="1:7" ht="28.8" x14ac:dyDescent="0.3">
      <c r="A4" s="4" t="s">
        <v>9</v>
      </c>
      <c r="B4" s="4" t="s">
        <v>10</v>
      </c>
      <c r="C4" s="4" t="s">
        <v>11</v>
      </c>
      <c r="D4" s="2">
        <v>54999</v>
      </c>
      <c r="F4" s="4" t="s">
        <v>4</v>
      </c>
      <c r="G4" s="4" t="str">
        <f t="shared" si="0"/>
        <v>Samsung Galaxy S24</v>
      </c>
    </row>
    <row r="5" spans="1:7" ht="28.8" x14ac:dyDescent="0.3">
      <c r="A5" s="4" t="s">
        <v>12</v>
      </c>
      <c r="B5" s="4" t="s">
        <v>13</v>
      </c>
      <c r="C5" s="4" t="s">
        <v>14</v>
      </c>
      <c r="D5" s="2">
        <v>1999</v>
      </c>
      <c r="F5" s="4" t="s">
        <v>23</v>
      </c>
      <c r="G5" s="4" t="str">
        <f t="shared" si="0"/>
        <v>Lenovo Laptop</v>
      </c>
    </row>
    <row r="6" spans="1:7" ht="28.8" x14ac:dyDescent="0.3">
      <c r="A6" s="4" t="s">
        <v>15</v>
      </c>
      <c r="B6" s="4" t="s">
        <v>16</v>
      </c>
      <c r="C6" s="4" t="s">
        <v>6</v>
      </c>
      <c r="D6" s="2">
        <v>15999</v>
      </c>
      <c r="F6" s="4" t="s">
        <v>15</v>
      </c>
      <c r="G6" s="4" t="str">
        <f t="shared" si="0"/>
        <v>Redmi Note 13</v>
      </c>
    </row>
    <row r="7" spans="1:7" x14ac:dyDescent="0.3">
      <c r="A7" s="4" t="s">
        <v>17</v>
      </c>
      <c r="B7" s="4" t="s">
        <v>18</v>
      </c>
      <c r="C7" s="4" t="s">
        <v>14</v>
      </c>
      <c r="D7" s="2">
        <v>899</v>
      </c>
    </row>
    <row r="8" spans="1:7" ht="28.8" x14ac:dyDescent="0.3">
      <c r="A8" s="4" t="s">
        <v>19</v>
      </c>
      <c r="B8" s="4" t="s">
        <v>20</v>
      </c>
      <c r="C8" s="4" t="s">
        <v>11</v>
      </c>
      <c r="D8" s="2">
        <v>42999</v>
      </c>
    </row>
    <row r="9" spans="1:7" ht="28.8" x14ac:dyDescent="0.3">
      <c r="A9" s="4" t="s">
        <v>21</v>
      </c>
      <c r="B9" s="4" t="s">
        <v>22</v>
      </c>
      <c r="C9" s="4" t="s">
        <v>14</v>
      </c>
      <c r="D9" s="2">
        <v>12999</v>
      </c>
    </row>
    <row r="10" spans="1:7" ht="28.8" x14ac:dyDescent="0.3">
      <c r="A10" s="4" t="s">
        <v>23</v>
      </c>
      <c r="B10" s="4" t="s">
        <v>24</v>
      </c>
      <c r="C10" s="4" t="s">
        <v>11</v>
      </c>
      <c r="D10" s="2">
        <v>47999</v>
      </c>
    </row>
    <row r="11" spans="1:7" ht="28.8" x14ac:dyDescent="0.3">
      <c r="A11" s="4" t="s">
        <v>25</v>
      </c>
      <c r="B11" s="4" t="s">
        <v>26</v>
      </c>
      <c r="C11" s="4" t="s">
        <v>14</v>
      </c>
      <c r="D11" s="2">
        <v>1499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191E-99C5-47F4-83B8-229D5C539F0D}">
  <dimension ref="A1:G11"/>
  <sheetViews>
    <sheetView workbookViewId="0">
      <selection activeCell="G2" sqref="G2"/>
    </sheetView>
  </sheetViews>
  <sheetFormatPr defaultRowHeight="14.4" x14ac:dyDescent="0.3"/>
  <cols>
    <col min="1" max="1" width="13.33203125" customWidth="1"/>
    <col min="2" max="2" width="16.6640625" customWidth="1"/>
    <col min="3" max="3" width="16.21875" customWidth="1"/>
    <col min="4" max="4" width="13.6640625" customWidth="1"/>
    <col min="6" max="6" width="16" customWidth="1"/>
    <col min="7" max="7" width="18.44140625" customWidth="1"/>
  </cols>
  <sheetData>
    <row r="1" spans="1:7" ht="43.2" x14ac:dyDescent="0.3">
      <c r="A1" s="1" t="s">
        <v>27</v>
      </c>
      <c r="B1" s="1" t="s">
        <v>28</v>
      </c>
      <c r="C1" s="1" t="s">
        <v>29</v>
      </c>
      <c r="D1" s="3" t="s">
        <v>30</v>
      </c>
      <c r="F1" s="1" t="s">
        <v>28</v>
      </c>
      <c r="G1" s="3" t="s">
        <v>44</v>
      </c>
    </row>
    <row r="2" spans="1:7" x14ac:dyDescent="0.3">
      <c r="A2" s="4" t="s">
        <v>31</v>
      </c>
      <c r="B2" s="4" t="s">
        <v>32</v>
      </c>
      <c r="C2" s="5">
        <v>46296</v>
      </c>
      <c r="D2" s="2">
        <v>450</v>
      </c>
      <c r="F2" s="4" t="s">
        <v>32</v>
      </c>
      <c r="G2" s="2">
        <f>_xlfn.XLOOKUP(F2,$B$2:$B$11,$D$2:$D$11,"Not Found",0,-1)</f>
        <v>550</v>
      </c>
    </row>
    <row r="3" spans="1:7" x14ac:dyDescent="0.3">
      <c r="A3" s="4" t="s">
        <v>33</v>
      </c>
      <c r="B3" s="4" t="s">
        <v>34</v>
      </c>
      <c r="C3" s="5">
        <v>46297</v>
      </c>
      <c r="D3" s="2">
        <v>350</v>
      </c>
    </row>
    <row r="4" spans="1:7" ht="28.8" x14ac:dyDescent="0.3">
      <c r="A4" s="4" t="s">
        <v>35</v>
      </c>
      <c r="B4" s="4" t="s">
        <v>32</v>
      </c>
      <c r="C4" s="5">
        <v>46298</v>
      </c>
      <c r="D4" s="2">
        <v>650</v>
      </c>
    </row>
    <row r="5" spans="1:7" x14ac:dyDescent="0.3">
      <c r="A5" s="4" t="s">
        <v>36</v>
      </c>
      <c r="B5" s="4" t="s">
        <v>37</v>
      </c>
      <c r="C5" s="5">
        <v>46299</v>
      </c>
      <c r="D5" s="2">
        <v>280</v>
      </c>
    </row>
    <row r="6" spans="1:7" ht="28.8" x14ac:dyDescent="0.3">
      <c r="A6" s="4" t="s">
        <v>38</v>
      </c>
      <c r="B6" s="4" t="s">
        <v>34</v>
      </c>
      <c r="C6" s="5">
        <v>46300</v>
      </c>
      <c r="D6" s="2">
        <v>500</v>
      </c>
    </row>
    <row r="7" spans="1:7" ht="28.8" x14ac:dyDescent="0.3">
      <c r="A7" s="4" t="s">
        <v>39</v>
      </c>
      <c r="B7" s="4" t="s">
        <v>32</v>
      </c>
      <c r="C7" s="5">
        <v>46301</v>
      </c>
      <c r="D7" s="2">
        <v>750</v>
      </c>
    </row>
    <row r="8" spans="1:7" x14ac:dyDescent="0.3">
      <c r="A8" s="4" t="s">
        <v>40</v>
      </c>
      <c r="B8" s="4" t="s">
        <v>37</v>
      </c>
      <c r="C8" s="5">
        <v>46302</v>
      </c>
      <c r="D8" s="2">
        <v>320</v>
      </c>
    </row>
    <row r="9" spans="1:7" ht="28.8" x14ac:dyDescent="0.3">
      <c r="A9" s="4" t="s">
        <v>41</v>
      </c>
      <c r="B9" s="4" t="s">
        <v>32</v>
      </c>
      <c r="C9" s="5">
        <v>46303</v>
      </c>
      <c r="D9" s="2">
        <v>550</v>
      </c>
    </row>
    <row r="10" spans="1:7" ht="28.8" x14ac:dyDescent="0.3">
      <c r="A10" s="4" t="s">
        <v>42</v>
      </c>
      <c r="B10" s="4" t="s">
        <v>34</v>
      </c>
      <c r="C10" s="5">
        <v>46304</v>
      </c>
      <c r="D10" s="2">
        <v>400</v>
      </c>
    </row>
    <row r="11" spans="1:7" x14ac:dyDescent="0.3">
      <c r="A11" s="4" t="s">
        <v>43</v>
      </c>
      <c r="B11" s="4" t="s">
        <v>37</v>
      </c>
      <c r="C11" s="5">
        <v>46305</v>
      </c>
      <c r="D11" s="2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2E1-86B5-477F-9C85-A7F69BC5DC81}">
  <dimension ref="A1:G7"/>
  <sheetViews>
    <sheetView workbookViewId="0">
      <selection activeCell="G2" sqref="G2:G5"/>
    </sheetView>
  </sheetViews>
  <sheetFormatPr defaultRowHeight="14.4" x14ac:dyDescent="0.3"/>
  <cols>
    <col min="1" max="1" width="14.5546875" customWidth="1"/>
    <col min="2" max="2" width="12.88671875" customWidth="1"/>
    <col min="3" max="3" width="14.33203125" customWidth="1"/>
    <col min="4" max="4" width="21.21875" customWidth="1"/>
    <col min="6" max="6" width="19.109375" customWidth="1"/>
    <col min="7" max="7" width="18.109375" customWidth="1"/>
  </cols>
  <sheetData>
    <row r="1" spans="1:7" ht="28.8" x14ac:dyDescent="0.3">
      <c r="A1" s="1" t="s">
        <v>45</v>
      </c>
      <c r="B1" s="1" t="s">
        <v>46</v>
      </c>
      <c r="C1" s="1" t="s">
        <v>47</v>
      </c>
      <c r="D1" s="3" t="s">
        <v>48</v>
      </c>
      <c r="F1" s="1" t="s">
        <v>67</v>
      </c>
      <c r="G1" s="1" t="s">
        <v>45</v>
      </c>
    </row>
    <row r="2" spans="1:7" x14ac:dyDescent="0.3">
      <c r="A2" s="4" t="s">
        <v>49</v>
      </c>
      <c r="B2" s="4" t="s">
        <v>50</v>
      </c>
      <c r="C2" s="4" t="s">
        <v>51</v>
      </c>
      <c r="D2" s="2">
        <v>45</v>
      </c>
      <c r="F2" s="4" t="s">
        <v>56</v>
      </c>
      <c r="G2" s="4" t="str">
        <f>_xlfn.XLOOKUP(F2,$B$2:$B$7,$A$2:$A$7,"No playlist available")</f>
        <v>Rock Legends</v>
      </c>
    </row>
    <row r="3" spans="1:7" x14ac:dyDescent="0.3">
      <c r="A3" s="4" t="s">
        <v>52</v>
      </c>
      <c r="B3" s="4" t="s">
        <v>53</v>
      </c>
      <c r="C3" s="4" t="s">
        <v>54</v>
      </c>
      <c r="D3" s="2">
        <v>60</v>
      </c>
      <c r="F3" s="4" t="s">
        <v>53</v>
      </c>
      <c r="G3" s="4" t="str">
        <f t="shared" ref="G3:G5" si="0">_xlfn.XLOOKUP(F3,$B$2:$B$7,$A$2:$A$7,"No playlist available")</f>
        <v>Workout Hits</v>
      </c>
    </row>
    <row r="4" spans="1:7" x14ac:dyDescent="0.3">
      <c r="A4" s="4" t="s">
        <v>55</v>
      </c>
      <c r="B4" s="4" t="s">
        <v>56</v>
      </c>
      <c r="C4" s="4" t="s">
        <v>57</v>
      </c>
      <c r="D4" s="2">
        <v>50</v>
      </c>
      <c r="F4" s="4" t="s">
        <v>65</v>
      </c>
      <c r="G4" s="4" t="str">
        <f t="shared" si="0"/>
        <v>Late Night Jazz</v>
      </c>
    </row>
    <row r="5" spans="1:7" x14ac:dyDescent="0.3">
      <c r="A5" s="4" t="s">
        <v>58</v>
      </c>
      <c r="B5" s="4" t="s">
        <v>59</v>
      </c>
      <c r="C5" s="4" t="s">
        <v>60</v>
      </c>
      <c r="D5" s="2">
        <v>35</v>
      </c>
      <c r="F5" s="4" t="s">
        <v>68</v>
      </c>
      <c r="G5" s="4" t="str">
        <f t="shared" si="0"/>
        <v>No playlist available</v>
      </c>
    </row>
    <row r="6" spans="1:7" x14ac:dyDescent="0.3">
      <c r="A6" s="4" t="s">
        <v>61</v>
      </c>
      <c r="B6" s="4" t="s">
        <v>62</v>
      </c>
      <c r="C6" s="4" t="s">
        <v>63</v>
      </c>
      <c r="D6" s="2">
        <v>70</v>
      </c>
    </row>
    <row r="7" spans="1:7" ht="28.8" x14ac:dyDescent="0.3">
      <c r="A7" s="4" t="s">
        <v>64</v>
      </c>
      <c r="B7" s="4" t="s">
        <v>65</v>
      </c>
      <c r="C7" s="4" t="s">
        <v>66</v>
      </c>
      <c r="D7" s="2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D784-8C8B-4BF0-8665-EA954A43B1D7}">
  <dimension ref="A1:G7"/>
  <sheetViews>
    <sheetView workbookViewId="0">
      <selection activeCell="G5" sqref="G5"/>
    </sheetView>
  </sheetViews>
  <sheetFormatPr defaultRowHeight="14.4" x14ac:dyDescent="0.3"/>
  <cols>
    <col min="1" max="1" width="13.88671875" customWidth="1"/>
    <col min="2" max="2" width="19.109375" customWidth="1"/>
    <col min="3" max="3" width="16" customWidth="1"/>
    <col min="4" max="4" width="15.44140625" customWidth="1"/>
    <col min="6" max="6" width="28.21875" customWidth="1"/>
    <col min="7" max="7" width="18" customWidth="1"/>
  </cols>
  <sheetData>
    <row r="1" spans="1:7" ht="43.2" x14ac:dyDescent="0.3">
      <c r="A1" s="1" t="s">
        <v>69</v>
      </c>
      <c r="B1" s="1" t="s">
        <v>70</v>
      </c>
      <c r="C1" s="1" t="s">
        <v>71</v>
      </c>
      <c r="D1" s="1" t="s">
        <v>72</v>
      </c>
      <c r="F1" s="1" t="s">
        <v>89</v>
      </c>
      <c r="G1" s="1" t="s">
        <v>90</v>
      </c>
    </row>
    <row r="2" spans="1:7" x14ac:dyDescent="0.3">
      <c r="A2" s="4" t="s">
        <v>73</v>
      </c>
      <c r="B2" s="4" t="s">
        <v>74</v>
      </c>
      <c r="C2" s="4">
        <v>19015</v>
      </c>
      <c r="D2" s="4" t="s">
        <v>75</v>
      </c>
      <c r="F2" s="4" t="s">
        <v>79</v>
      </c>
      <c r="G2" s="4" t="str">
        <f>_xlfn.XLOOKUP(F2,$A$2:$A$7,$D$2:$D$7,"Booking Not Found")</f>
        <v>Confirmed</v>
      </c>
    </row>
    <row r="3" spans="1:7" x14ac:dyDescent="0.3">
      <c r="A3" s="4" t="s">
        <v>76</v>
      </c>
      <c r="B3" s="4" t="s">
        <v>77</v>
      </c>
      <c r="C3" s="4">
        <v>12901</v>
      </c>
      <c r="D3" s="4" t="s">
        <v>78</v>
      </c>
      <c r="F3" s="4" t="s">
        <v>91</v>
      </c>
      <c r="G3" s="4" t="str">
        <f>_xlfn.XLOOKUP(F3,$A$2:$A$7,$D$2:$D$7,"Booking Not Found")</f>
        <v>Booking Not Found</v>
      </c>
    </row>
    <row r="4" spans="1:7" x14ac:dyDescent="0.3">
      <c r="A4" s="4" t="s">
        <v>79</v>
      </c>
      <c r="B4" s="4" t="s">
        <v>80</v>
      </c>
      <c r="C4" s="4">
        <v>12902</v>
      </c>
      <c r="D4" s="4" t="s">
        <v>75</v>
      </c>
    </row>
    <row r="5" spans="1:7" x14ac:dyDescent="0.3">
      <c r="A5" s="4" t="s">
        <v>81</v>
      </c>
      <c r="B5" s="4" t="s">
        <v>82</v>
      </c>
      <c r="C5" s="4">
        <v>22945</v>
      </c>
      <c r="D5" s="4" t="s">
        <v>83</v>
      </c>
    </row>
    <row r="6" spans="1:7" x14ac:dyDescent="0.3">
      <c r="A6" s="4" t="s">
        <v>84</v>
      </c>
      <c r="B6" s="4" t="s">
        <v>85</v>
      </c>
      <c r="C6" s="4">
        <v>19016</v>
      </c>
      <c r="D6" s="4" t="s">
        <v>86</v>
      </c>
    </row>
    <row r="7" spans="1:7" x14ac:dyDescent="0.3">
      <c r="A7" s="4" t="s">
        <v>87</v>
      </c>
      <c r="B7" s="4" t="s">
        <v>88</v>
      </c>
      <c r="C7" s="4">
        <v>12903</v>
      </c>
      <c r="D7" s="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C762-590E-4DCE-A90B-5B4137356D57}">
  <dimension ref="A1:G7"/>
  <sheetViews>
    <sheetView tabSelected="1" workbookViewId="0">
      <selection activeCell="G5" sqref="G5"/>
    </sheetView>
  </sheetViews>
  <sheetFormatPr defaultRowHeight="14.4" x14ac:dyDescent="0.3"/>
  <cols>
    <col min="1" max="1" width="11.6640625" customWidth="1"/>
    <col min="2" max="2" width="15.77734375" customWidth="1"/>
    <col min="3" max="3" width="14.88671875" customWidth="1"/>
    <col min="4" max="4" width="18" customWidth="1"/>
    <col min="6" max="6" width="16.77734375" customWidth="1"/>
    <col min="7" max="7" width="15.6640625" customWidth="1"/>
  </cols>
  <sheetData>
    <row r="1" spans="1:7" ht="28.8" x14ac:dyDescent="0.3">
      <c r="A1" s="1" t="s">
        <v>27</v>
      </c>
      <c r="B1" s="1" t="s">
        <v>1</v>
      </c>
      <c r="C1" s="1" t="s">
        <v>29</v>
      </c>
      <c r="D1" s="1" t="s">
        <v>92</v>
      </c>
      <c r="F1" s="1" t="s">
        <v>105</v>
      </c>
      <c r="G1" s="1" t="s">
        <v>92</v>
      </c>
    </row>
    <row r="2" spans="1:7" x14ac:dyDescent="0.3">
      <c r="A2" s="4" t="s">
        <v>93</v>
      </c>
      <c r="B2" s="4" t="s">
        <v>94</v>
      </c>
      <c r="C2" s="5">
        <v>46296</v>
      </c>
      <c r="D2" s="5">
        <v>46300</v>
      </c>
      <c r="F2" s="4" t="s">
        <v>97</v>
      </c>
      <c r="G2" s="5">
        <f>_xlfn.XLOOKUP(F2,$A$2:$A$7,$D$2:$D$7,"Order Not Found")</f>
        <v>46304</v>
      </c>
    </row>
    <row r="3" spans="1:7" x14ac:dyDescent="0.3">
      <c r="A3" s="4" t="s">
        <v>95</v>
      </c>
      <c r="B3" s="4" t="s">
        <v>96</v>
      </c>
      <c r="C3" s="5">
        <v>46298</v>
      </c>
      <c r="D3" s="5">
        <v>46302</v>
      </c>
      <c r="F3" s="4" t="s">
        <v>101</v>
      </c>
      <c r="G3" s="5">
        <f t="shared" ref="G3:G4" si="0">_xlfn.XLOOKUP(F3,$A$2:$A$7,$D$2:$D$7,"Order Not Found")</f>
        <v>46309</v>
      </c>
    </row>
    <row r="4" spans="1:7" x14ac:dyDescent="0.3">
      <c r="A4" s="4" t="s">
        <v>97</v>
      </c>
      <c r="B4" s="4" t="s">
        <v>98</v>
      </c>
      <c r="C4" s="5">
        <v>46300</v>
      </c>
      <c r="D4" s="5">
        <v>46304</v>
      </c>
      <c r="F4" s="4" t="s">
        <v>106</v>
      </c>
      <c r="G4" s="5" t="str">
        <f t="shared" si="0"/>
        <v>Order Not Found</v>
      </c>
    </row>
    <row r="5" spans="1:7" x14ac:dyDescent="0.3">
      <c r="A5" s="4" t="s">
        <v>99</v>
      </c>
      <c r="B5" s="4" t="s">
        <v>100</v>
      </c>
      <c r="C5" s="5">
        <v>46303</v>
      </c>
      <c r="D5" s="5">
        <v>46307</v>
      </c>
    </row>
    <row r="6" spans="1:7" ht="28.8" x14ac:dyDescent="0.3">
      <c r="A6" s="4" t="s">
        <v>101</v>
      </c>
      <c r="B6" s="4" t="s">
        <v>102</v>
      </c>
      <c r="C6" s="5">
        <v>46305</v>
      </c>
      <c r="D6" s="5">
        <v>46309</v>
      </c>
    </row>
    <row r="7" spans="1:7" ht="43.2" x14ac:dyDescent="0.3">
      <c r="A7" s="4" t="s">
        <v>103</v>
      </c>
      <c r="B7" s="4" t="s">
        <v>104</v>
      </c>
      <c r="C7" s="5">
        <v>46307</v>
      </c>
      <c r="D7" s="5">
        <v>46311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task-1</vt:lpstr>
      <vt:lpstr>task-2</vt:lpstr>
      <vt:lpstr>task-3</vt:lpstr>
      <vt:lpstr>task-4</vt:lpstr>
      <vt:lpstr>task-5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2026-10-19T12:43:51Z</dcterms:created>
  <dcterms:modified xsi:type="dcterms:W3CDTF">2026-10-19T12:50:12Z</dcterms:modified>
</cp:coreProperties>
</file>