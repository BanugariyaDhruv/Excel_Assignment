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"/>
    </mc:Choice>
  </mc:AlternateContent>
  <xr:revisionPtr revIDLastSave="0" documentId="8_{9F7FABCD-EA1B-4597-A566-501F00E3E068}" xr6:coauthVersionLast="47" xr6:coauthVersionMax="47" xr10:uidLastSave="{00000000-0000-0000-0000-000000000000}"/>
  <bookViews>
    <workbookView xWindow="-108" yWindow="-108" windowWidth="23256" windowHeight="12456" xr2:uid="{87DCB70F-FE7F-4EDA-8318-7F769A7F1547}"/>
  </bookViews>
  <sheets>
    <sheet name="Sheet1" sheetId="1" r:id="rId1"/>
    <sheet name="Restaurant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I2" i="2"/>
  <c r="C7" i="2"/>
</calcChain>
</file>

<file path=xl/sharedStrings.xml><?xml version="1.0" encoding="utf-8"?>
<sst xmlns="http://schemas.openxmlformats.org/spreadsheetml/2006/main" count="58" uniqueCount="36">
  <si>
    <t>Order ID</t>
  </si>
  <si>
    <t>Restaurant ID</t>
  </si>
  <si>
    <t>City</t>
  </si>
  <si>
    <t>Order Date</t>
  </si>
  <si>
    <t>Delivery Date</t>
  </si>
  <si>
    <t>Delivery Partner</t>
  </si>
  <si>
    <t>Delivery Time (min)</t>
  </si>
  <si>
    <t>Delivery Charge</t>
  </si>
  <si>
    <t>O101</t>
  </si>
  <si>
    <t>R01</t>
  </si>
  <si>
    <t>Ahmedabad</t>
  </si>
  <si>
    <t>Rahul</t>
  </si>
  <si>
    <t>O102</t>
  </si>
  <si>
    <t>R02</t>
  </si>
  <si>
    <t>Jamnagar</t>
  </si>
  <si>
    <t>Missing</t>
  </si>
  <si>
    <t>O103</t>
  </si>
  <si>
    <t>R03</t>
  </si>
  <si>
    <t>Rajkot</t>
  </si>
  <si>
    <t>Amit</t>
  </si>
  <si>
    <t>O104</t>
  </si>
  <si>
    <t>Neha</t>
  </si>
  <si>
    <t>O105</t>
  </si>
  <si>
    <t>O106</t>
  </si>
  <si>
    <t>R04</t>
  </si>
  <si>
    <t>Surat</t>
  </si>
  <si>
    <t>Karan</t>
  </si>
  <si>
    <t>O107</t>
  </si>
  <si>
    <t>O108</t>
  </si>
  <si>
    <t>O109</t>
  </si>
  <si>
    <t>O110</t>
  </si>
  <si>
    <t>Restaurant Name</t>
  </si>
  <si>
    <t>Pizza Palace</t>
  </si>
  <si>
    <t>Burger Hub</t>
  </si>
  <si>
    <t>Spice Garden</t>
  </si>
  <si>
    <t>Royal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</si>
</sst>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B4E1-316A-47FC-A717-FAD10F64E644}">
  <dimension ref="A1:M11"/>
  <sheetViews>
    <sheetView tabSelected="1" workbookViewId="0">
      <selection activeCell="N2" sqref="N2"/>
    </sheetView>
  </sheetViews>
  <sheetFormatPr defaultRowHeight="14.4" x14ac:dyDescent="0.3"/>
  <cols>
    <col min="4" max="5" width="10.33203125" bestFit="1" customWidth="1"/>
    <col min="9" max="9" width="11.44140625" customWidth="1"/>
    <col min="10" max="10" width="11.109375" customWidth="1"/>
    <col min="11" max="11" width="10.33203125" bestFit="1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13" ht="28.8" x14ac:dyDescent="0.3">
      <c r="A2" s="4" t="s">
        <v>8</v>
      </c>
      <c r="B2" s="4" t="s">
        <v>9</v>
      </c>
      <c r="C2" s="4" t="s">
        <v>10</v>
      </c>
      <c r="D2" s="5">
        <v>46315</v>
      </c>
      <c r="E2" s="5">
        <v>46315</v>
      </c>
      <c r="F2" s="4" t="s">
        <v>11</v>
      </c>
      <c r="G2" s="2">
        <v>30</v>
      </c>
      <c r="H2" s="2">
        <v>35</v>
      </c>
      <c r="I2" t="str">
        <f>VLOOKUP(B2,'Restaurant Details'!$A$2:$B$5,2,FALSE)</f>
        <v>Pizza Palace</v>
      </c>
      <c r="J2" t="str">
        <f>_xlfn.XLOOKUP(B2,'Restaurant Details'!$A$2:$A$5,'Restaurant Details'!$B$2:$B$5,"Not Found")</f>
        <v>Pizza Palace</v>
      </c>
      <c r="K2" t="str">
        <f>TEXT(E2,"dddd")</f>
        <v>Tuesday</v>
      </c>
      <c r="L2" t="str">
        <f>TEXT(E2,"ddd")</f>
        <v>Tue</v>
      </c>
      <c r="M2" t="str">
        <f>TEXT(E2,"ddd")</f>
        <v>Tue</v>
      </c>
    </row>
    <row r="3" spans="1:13" x14ac:dyDescent="0.3">
      <c r="A3" s="4" t="s">
        <v>12</v>
      </c>
      <c r="B3" s="4" t="s">
        <v>13</v>
      </c>
      <c r="C3" s="4" t="s">
        <v>14</v>
      </c>
      <c r="D3" s="5">
        <v>46316</v>
      </c>
      <c r="E3" s="5">
        <v>46316</v>
      </c>
      <c r="F3" s="4" t="s">
        <v>15</v>
      </c>
      <c r="G3" s="2">
        <v>40</v>
      </c>
      <c r="H3" s="2">
        <v>25</v>
      </c>
      <c r="I3" t="str">
        <f>VLOOKUP(B3,'Restaurant Details'!$A$2:$B$5,2,FALSE)</f>
        <v>Burger Hub</v>
      </c>
      <c r="J3" t="str">
        <f>_xlfn.XLOOKUP(B3,'Restaurant Details'!$A$2:$A$5,'Restaurant Details'!$B$2:$B$5,"Not Found")</f>
        <v>Burger Hub</v>
      </c>
      <c r="K3" t="str">
        <f t="shared" ref="K3:K11" si="0">TEXT(E3,"dddd")</f>
        <v>Wednesday</v>
      </c>
      <c r="L3" t="str">
        <f t="shared" ref="L3:L11" si="1">TEXT(E3,"ddd")</f>
        <v>Wed</v>
      </c>
      <c r="M3" t="str">
        <f t="shared" ref="M3:M11" si="2">TEXT(E3,"ddd")</f>
        <v>Wed</v>
      </c>
    </row>
    <row r="4" spans="1:13" x14ac:dyDescent="0.3">
      <c r="A4" s="4" t="s">
        <v>16</v>
      </c>
      <c r="B4" s="4" t="s">
        <v>17</v>
      </c>
      <c r="C4" s="4" t="s">
        <v>18</v>
      </c>
      <c r="D4" s="6">
        <v>46316</v>
      </c>
      <c r="E4" s="6">
        <v>46316</v>
      </c>
      <c r="F4" s="4" t="s">
        <v>19</v>
      </c>
      <c r="G4" s="2">
        <v>25</v>
      </c>
      <c r="H4" s="2">
        <v>30</v>
      </c>
      <c r="I4" t="str">
        <f>VLOOKUP(B4,'Restaurant Details'!$A$2:$B$5,2,FALSE)</f>
        <v>Spice Garden</v>
      </c>
      <c r="J4" t="str">
        <f>_xlfn.XLOOKUP(B4,'Restaurant Details'!$A$2:$A$5,'Restaurant Details'!$B$2:$B$5,"Not Found")</f>
        <v>Spice Garden</v>
      </c>
      <c r="K4" t="str">
        <f t="shared" si="0"/>
        <v>Wednesday</v>
      </c>
      <c r="L4" t="str">
        <f t="shared" si="1"/>
        <v>Wed</v>
      </c>
      <c r="M4" t="str">
        <f t="shared" si="2"/>
        <v>Wed</v>
      </c>
    </row>
    <row r="5" spans="1:13" ht="28.8" x14ac:dyDescent="0.3">
      <c r="A5" s="4" t="s">
        <v>20</v>
      </c>
      <c r="B5" s="4" t="s">
        <v>9</v>
      </c>
      <c r="C5" s="4" t="s">
        <v>10</v>
      </c>
      <c r="D5" s="5">
        <v>46317</v>
      </c>
      <c r="E5" s="5">
        <v>46317</v>
      </c>
      <c r="F5" s="4" t="s">
        <v>21</v>
      </c>
      <c r="G5" s="2">
        <v>35</v>
      </c>
      <c r="H5" s="2">
        <v>40</v>
      </c>
      <c r="I5" t="str">
        <f>VLOOKUP(B5,'Restaurant Details'!$A$2:$B$5,2,FALSE)</f>
        <v>Pizza Palace</v>
      </c>
      <c r="J5" t="str">
        <f>_xlfn.XLOOKUP(B5,'Restaurant Details'!$A$2:$A$5,'Restaurant Details'!$B$2:$B$5,"Not Found")</f>
        <v>Pizza Palace</v>
      </c>
      <c r="K5" t="str">
        <f t="shared" si="0"/>
        <v>Thursday</v>
      </c>
      <c r="L5" t="str">
        <f t="shared" si="1"/>
        <v>Thu</v>
      </c>
      <c r="M5" t="str">
        <f t="shared" si="2"/>
        <v>Thu</v>
      </c>
    </row>
    <row r="6" spans="1:13" x14ac:dyDescent="0.3">
      <c r="A6" s="4" t="s">
        <v>22</v>
      </c>
      <c r="B6" s="4" t="s">
        <v>13</v>
      </c>
      <c r="C6" s="4" t="s">
        <v>14</v>
      </c>
      <c r="D6" s="5">
        <v>46317</v>
      </c>
      <c r="E6" s="5">
        <v>46317</v>
      </c>
      <c r="F6" s="4" t="s">
        <v>15</v>
      </c>
      <c r="G6" s="2">
        <v>28</v>
      </c>
      <c r="H6" s="2">
        <v>30</v>
      </c>
      <c r="I6" t="str">
        <f>VLOOKUP(B6,'Restaurant Details'!$A$2:$B$5,2,FALSE)</f>
        <v>Burger Hub</v>
      </c>
      <c r="J6" t="str">
        <f>_xlfn.XLOOKUP(B6,'Restaurant Details'!$A$2:$A$5,'Restaurant Details'!$B$2:$B$5,"Not Found")</f>
        <v>Burger Hub</v>
      </c>
      <c r="K6" t="str">
        <f t="shared" si="0"/>
        <v>Thursday</v>
      </c>
      <c r="L6" t="str">
        <f t="shared" si="1"/>
        <v>Thu</v>
      </c>
      <c r="M6" t="str">
        <f t="shared" si="2"/>
        <v>Thu</v>
      </c>
    </row>
    <row r="7" spans="1:13" x14ac:dyDescent="0.3">
      <c r="A7" s="4" t="s">
        <v>23</v>
      </c>
      <c r="B7" s="4" t="s">
        <v>24</v>
      </c>
      <c r="C7" s="4" t="s">
        <v>25</v>
      </c>
      <c r="D7" s="5">
        <v>46318</v>
      </c>
      <c r="E7" s="5">
        <v>46318</v>
      </c>
      <c r="F7" s="4" t="s">
        <v>26</v>
      </c>
      <c r="G7" s="2">
        <v>32</v>
      </c>
      <c r="H7" s="2">
        <v>35</v>
      </c>
      <c r="I7" t="str">
        <f>VLOOKUP(B7,'Restaurant Details'!$A$2:$B$5,2,FALSE)</f>
        <v>Royal Biryani</v>
      </c>
      <c r="J7" t="str">
        <f>_xlfn.XLOOKUP(B7,'Restaurant Details'!$A$2:$A$5,'Restaurant Details'!$B$2:$B$5,"Not Found")</f>
        <v>Royal Biryani</v>
      </c>
      <c r="K7" t="str">
        <f t="shared" si="0"/>
        <v>Friday</v>
      </c>
      <c r="L7" t="str">
        <f t="shared" si="1"/>
        <v>Fri</v>
      </c>
      <c r="M7" t="str">
        <f t="shared" si="2"/>
        <v>Fri</v>
      </c>
    </row>
    <row r="8" spans="1:13" x14ac:dyDescent="0.3">
      <c r="A8" s="4" t="s">
        <v>27</v>
      </c>
      <c r="B8" s="4" t="s">
        <v>17</v>
      </c>
      <c r="C8" s="4" t="s">
        <v>18</v>
      </c>
      <c r="D8" s="6">
        <v>46318</v>
      </c>
      <c r="E8" s="6">
        <v>46318</v>
      </c>
      <c r="F8" s="4" t="s">
        <v>19</v>
      </c>
      <c r="G8" s="2">
        <v>27</v>
      </c>
      <c r="H8" s="2">
        <v>25</v>
      </c>
      <c r="I8" t="str">
        <f>VLOOKUP(B8,'Restaurant Details'!$A$2:$B$5,2,FALSE)</f>
        <v>Spice Garden</v>
      </c>
      <c r="J8" t="str">
        <f>_xlfn.XLOOKUP(B8,'Restaurant Details'!$A$2:$A$5,'Restaurant Details'!$B$2:$B$5,"Not Found")</f>
        <v>Spice Garden</v>
      </c>
      <c r="K8" t="str">
        <f t="shared" si="0"/>
        <v>Friday</v>
      </c>
      <c r="L8" t="str">
        <f t="shared" si="1"/>
        <v>Fri</v>
      </c>
      <c r="M8" t="str">
        <f t="shared" si="2"/>
        <v>Fri</v>
      </c>
    </row>
    <row r="9" spans="1:13" x14ac:dyDescent="0.3">
      <c r="A9" s="4" t="s">
        <v>28</v>
      </c>
      <c r="B9" s="4" t="s">
        <v>24</v>
      </c>
      <c r="C9" s="4" t="s">
        <v>25</v>
      </c>
      <c r="D9" s="5">
        <v>46319</v>
      </c>
      <c r="E9" s="5">
        <v>46319</v>
      </c>
      <c r="F9" s="4" t="s">
        <v>21</v>
      </c>
      <c r="G9" s="2">
        <v>38</v>
      </c>
      <c r="H9" s="2">
        <v>40</v>
      </c>
      <c r="I9" t="str">
        <f>VLOOKUP(B9,'Restaurant Details'!$A$2:$B$5,2,FALSE)</f>
        <v>Royal Biryani</v>
      </c>
      <c r="J9" t="str">
        <f>_xlfn.XLOOKUP(B9,'Restaurant Details'!$A$2:$A$5,'Restaurant Details'!$B$2:$B$5,"Not Found")</f>
        <v>Royal Biryani</v>
      </c>
      <c r="K9" t="str">
        <f t="shared" si="0"/>
        <v>Saturday</v>
      </c>
      <c r="L9" t="str">
        <f t="shared" si="1"/>
        <v>Sat</v>
      </c>
      <c r="M9" t="str">
        <f t="shared" si="2"/>
        <v>Sat</v>
      </c>
    </row>
    <row r="10" spans="1:13" ht="28.8" x14ac:dyDescent="0.3">
      <c r="A10" s="4" t="s">
        <v>29</v>
      </c>
      <c r="B10" s="4" t="s">
        <v>9</v>
      </c>
      <c r="C10" s="4" t="s">
        <v>10</v>
      </c>
      <c r="D10" s="5">
        <v>46319</v>
      </c>
      <c r="E10" s="5">
        <v>46319</v>
      </c>
      <c r="F10" s="4" t="s">
        <v>11</v>
      </c>
      <c r="G10" s="2">
        <v>29</v>
      </c>
      <c r="H10" s="2">
        <v>30</v>
      </c>
      <c r="I10" t="str">
        <f>VLOOKUP(B10,'Restaurant Details'!$A$2:$B$5,2,FALSE)</f>
        <v>Pizza Palace</v>
      </c>
      <c r="J10" t="str">
        <f>_xlfn.XLOOKUP(B10,'Restaurant Details'!$A$2:$A$5,'Restaurant Details'!$B$2:$B$5,"Not Found")</f>
        <v>Pizza Palace</v>
      </c>
      <c r="K10" t="str">
        <f t="shared" si="0"/>
        <v>Saturday</v>
      </c>
      <c r="L10" t="str">
        <f t="shared" si="1"/>
        <v>Sat</v>
      </c>
      <c r="M10" t="str">
        <f t="shared" si="2"/>
        <v>Sat</v>
      </c>
    </row>
    <row r="11" spans="1:13" x14ac:dyDescent="0.3">
      <c r="A11" s="4" t="s">
        <v>30</v>
      </c>
      <c r="B11" s="4" t="s">
        <v>13</v>
      </c>
      <c r="C11" s="4" t="s">
        <v>14</v>
      </c>
      <c r="D11" s="5">
        <v>46320</v>
      </c>
      <c r="E11" s="5">
        <v>46320</v>
      </c>
      <c r="F11" s="4" t="s">
        <v>15</v>
      </c>
      <c r="G11" s="2">
        <v>33</v>
      </c>
      <c r="H11" s="2">
        <v>35</v>
      </c>
      <c r="I11" t="str">
        <f>VLOOKUP(B11,'Restaurant Details'!$A$2:$B$5,2,FALSE)</f>
        <v>Burger Hub</v>
      </c>
      <c r="J11" t="str">
        <f>_xlfn.XLOOKUP(B11,'Restaurant Details'!$A$2:$A$5,'Restaurant Details'!$B$2:$B$5,"Not Found")</f>
        <v>Burger Hub</v>
      </c>
      <c r="K11" t="str">
        <f t="shared" si="0"/>
        <v>Sunday</v>
      </c>
      <c r="L11" t="str">
        <f t="shared" si="1"/>
        <v>Sun</v>
      </c>
      <c r="M11" t="str">
        <f t="shared" si="2"/>
        <v>Sun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1950-D6DD-4E9F-A9A9-C7B8C40F4E1C}">
  <dimension ref="A1:I7"/>
  <sheetViews>
    <sheetView workbookViewId="0">
      <selection activeCell="I2" sqref="I2"/>
    </sheetView>
  </sheetViews>
  <sheetFormatPr defaultRowHeight="14.4" x14ac:dyDescent="0.3"/>
  <cols>
    <col min="1" max="1" width="16.6640625" customWidth="1"/>
    <col min="2" max="2" width="18" customWidth="1"/>
  </cols>
  <sheetData>
    <row r="1" spans="1:9" ht="28.8" x14ac:dyDescent="0.3">
      <c r="A1" s="1" t="s">
        <v>1</v>
      </c>
      <c r="B1" s="1" t="s">
        <v>31</v>
      </c>
    </row>
    <row r="2" spans="1:9" ht="28.8" x14ac:dyDescent="0.3">
      <c r="A2" s="4" t="s">
        <v>9</v>
      </c>
      <c r="B2" s="4" t="s">
        <v>32</v>
      </c>
      <c r="I2" t="e">
        <f>VLOOKUP(B2,'Restaurant Details'!$A$2:$B$5,2,FALSE)</f>
        <v>#N/A</v>
      </c>
    </row>
    <row r="3" spans="1:9" ht="28.8" x14ac:dyDescent="0.3">
      <c r="A3" s="4" t="s">
        <v>13</v>
      </c>
      <c r="B3" s="4" t="s">
        <v>33</v>
      </c>
    </row>
    <row r="4" spans="1:9" ht="28.8" x14ac:dyDescent="0.3">
      <c r="A4" s="4" t="s">
        <v>17</v>
      </c>
      <c r="B4" s="4" t="s">
        <v>34</v>
      </c>
    </row>
    <row r="5" spans="1:9" ht="28.8" x14ac:dyDescent="0.3">
      <c r="A5" s="4" t="s">
        <v>24</v>
      </c>
      <c r="B5" s="4" t="s">
        <v>35</v>
      </c>
    </row>
    <row r="7" spans="1:9" x14ac:dyDescent="0.3">
      <c r="C7" t="e">
        <f>VLOOKUP(B2,'Restaurant Details'!$A$2:$B$5,2,FALSE)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Restaurant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2026-10-22T13:14:56Z</dcterms:created>
  <dcterms:modified xsi:type="dcterms:W3CDTF">2026-10-22T13:19:11Z</dcterms:modified>
</cp:coreProperties>
</file>