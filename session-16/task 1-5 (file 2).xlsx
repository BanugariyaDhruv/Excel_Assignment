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ea10a5da2068625c/Desktop/Tops_work/Assignment/Excel_Assignments/New folder/"/>
    </mc:Choice>
  </mc:AlternateContent>
  <xr:revisionPtr revIDLastSave="0" documentId="8_{154CAA8A-D638-4E47-B51C-2441FC3676E4}" xr6:coauthVersionLast="47" xr6:coauthVersionMax="47" xr10:uidLastSave="{00000000-0000-0000-0000-000000000000}"/>
  <bookViews>
    <workbookView xWindow="-108" yWindow="-108" windowWidth="23256" windowHeight="12456" activeTab="3" xr2:uid="{47D3FFF0-0296-4160-9089-2D5AEF997A70}"/>
  </bookViews>
  <sheets>
    <sheet name="sheet1" sheetId="1" r:id="rId1"/>
    <sheet name="sheet2" sheetId="2" r:id="rId2"/>
    <sheet name="Sheet3" sheetId="5" r:id="rId3"/>
    <sheet name="dashboard" sheetId="6" r:id="rId4"/>
  </sheets>
  <definedNames>
    <definedName name="Slicer_Month">#N/A</definedName>
  </definedNames>
  <calcPr calcId="191029"/>
  <pivotCaches>
    <pivotCache cacheId="1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2" i="1"/>
</calcChain>
</file>

<file path=xl/sharedStrings.xml><?xml version="1.0" encoding="utf-8"?>
<sst xmlns="http://schemas.openxmlformats.org/spreadsheetml/2006/main" count="90" uniqueCount="52">
  <si>
    <t>Order ID</t>
  </si>
  <si>
    <t>Restaurant</t>
  </si>
  <si>
    <t>Order Date</t>
  </si>
  <si>
    <t>Total Amount (₹)</t>
  </si>
  <si>
    <t>ORD101</t>
  </si>
  <si>
    <t>Domino's Pizza</t>
  </si>
  <si>
    <t>ORD102</t>
  </si>
  <si>
    <t>McDonald's</t>
  </si>
  <si>
    <t>ORD103</t>
  </si>
  <si>
    <t>Pizza Hut</t>
  </si>
  <si>
    <t>ORD104</t>
  </si>
  <si>
    <t>Subway</t>
  </si>
  <si>
    <t>ORD105</t>
  </si>
  <si>
    <t>ORD106</t>
  </si>
  <si>
    <t>KFC</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</si>
  <si>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</si>
  <si>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</si>
  <si>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</si>
  <si>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</si>
  <si>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</si>
  <si>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</si>
  <si>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</si>
  <si>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</si>
  <si>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</si>
  <si>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</si>
  <si>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</si>
  <si>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</si>
  <si>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</si>
  <si>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</si>
  <si>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</si>
  <si>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</si>
  <si>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</si>
  <si>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</si>
  <si>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</si>
  <si>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</si>
  <si>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</si>
  <si>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</si>
  <si>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</si>
  <si>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</si>
  <si>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Row Labels</t>
  </si>
  <si>
    <t>Grand Total</t>
  </si>
  <si>
    <t>Sum of Total Amount (₹)</t>
  </si>
  <si>
    <t>(All)</t>
  </si>
  <si>
    <t>Month</t>
  </si>
  <si>
    <t>Column Labels</t>
  </si>
  <si>
    <t>Jan</t>
  </si>
  <si>
    <t>Feb</t>
  </si>
  <si>
    <t>Mar</t>
  </si>
  <si>
    <t>2026</t>
  </si>
  <si>
    <t>FOOD DELIVERY SALES DASHBOARD</t>
  </si>
  <si>
    <t>Total Sales: ₹26,890</t>
  </si>
  <si>
    <t>Total Orders: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</si>
</sst>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20"/>
      <color theme="1"/>
      <name val="Aptos Narrow"/>
      <family val="2"/>
      <scheme val="minor"/>
    </font>
    <font>
      <sz val="28"/>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3" fillId="2" borderId="0" xfId="0" applyFont="1" applyFill="1" applyAlignment="1">
      <alignment horizontal="center" vertical="center"/>
    </xf>
    <xf numFmtId="0" fontId="2"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1-5 (file 2).xlsx]sheet2!PivotTable1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Sales by Restaurant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4"/>
            </a:fgClr>
            <a:bgClr>
              <a:schemeClr val="lt1"/>
            </a:bgClr>
          </a:pattFill>
          <a:ln>
            <a:noFill/>
          </a:ln>
          <a:effectLst/>
        </c:spPr>
        <c:marker>
          <c:symbol val="circle"/>
          <c:size val="5"/>
          <c:spPr>
            <a:solidFill>
              <a:schemeClr val="accent4"/>
            </a:solidFill>
            <a:ln w="22225">
              <a:solidFill>
                <a:schemeClr val="lt1"/>
              </a:solidFill>
              <a:round/>
            </a:ln>
            <a:effectLst/>
          </c:spPr>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pattFill prst="ltUpDiag">
            <a:fgClr>
              <a:schemeClr val="accent4"/>
            </a:fgClr>
            <a:bgClr>
              <a:schemeClr val="lt1"/>
            </a:bgClr>
          </a:pattFill>
          <a:ln>
            <a:noFill/>
          </a:ln>
          <a:effectLst/>
        </c:spPr>
        <c:marker>
          <c:symbol val="none"/>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pattFill prst="ltUpDiag">
            <a:fgClr>
              <a:schemeClr val="accent4"/>
            </a:fgClr>
            <a:bgClr>
              <a:schemeClr val="lt1"/>
            </a:bgClr>
          </a:pattFill>
          <a:ln>
            <a:noFill/>
          </a:ln>
          <a:effectLst/>
        </c:spPr>
        <c:marker>
          <c:symbol val="none"/>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s>
    <c:plotArea>
      <c:layout/>
      <c:barChart>
        <c:barDir val="bar"/>
        <c:grouping val="clustered"/>
        <c:varyColors val="0"/>
        <c:ser>
          <c:idx val="0"/>
          <c:order val="0"/>
          <c:tx>
            <c:strRef>
              <c:f>sheet2!$B$3</c:f>
              <c:strCache>
                <c:ptCount val="1"/>
                <c:pt idx="0">
                  <c:v>Total</c:v>
                </c:pt>
              </c:strCache>
            </c:strRef>
          </c:tx>
          <c:spPr>
            <a:pattFill prst="ltUpDiag">
              <a:fgClr>
                <a:schemeClr val="accent4"/>
              </a:fgClr>
              <a:bgClr>
                <a:schemeClr val="lt1"/>
              </a:bgClr>
            </a:pattFill>
            <a:ln>
              <a:noFill/>
            </a:ln>
            <a:effectLst/>
          </c:spPr>
          <c:invertIfNegative val="0"/>
          <c:dLbls>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sheet2!$A$4:$A$9</c:f>
              <c:strCache>
                <c:ptCount val="5"/>
                <c:pt idx="0">
                  <c:v>Domino's Pizza</c:v>
                </c:pt>
                <c:pt idx="1">
                  <c:v>KFC</c:v>
                </c:pt>
                <c:pt idx="2">
                  <c:v>McDonald's</c:v>
                </c:pt>
                <c:pt idx="3">
                  <c:v>Pizza Hut</c:v>
                </c:pt>
                <c:pt idx="4">
                  <c:v>Subway</c:v>
                </c:pt>
              </c:strCache>
            </c:strRef>
          </c:cat>
          <c:val>
            <c:numRef>
              <c:f>sheet2!$B$4:$B$9</c:f>
              <c:numCache>
                <c:formatCode>General</c:formatCode>
                <c:ptCount val="5"/>
                <c:pt idx="0">
                  <c:v>6800</c:v>
                </c:pt>
                <c:pt idx="1">
                  <c:v>5680</c:v>
                </c:pt>
                <c:pt idx="2">
                  <c:v>4060</c:v>
                </c:pt>
                <c:pt idx="3">
                  <c:v>6700</c:v>
                </c:pt>
                <c:pt idx="4">
                  <c:v>3650</c:v>
                </c:pt>
              </c:numCache>
            </c:numRef>
          </c:val>
          <c:extLst>
            <c:ext xmlns:c16="http://schemas.microsoft.com/office/drawing/2014/chart" uri="{C3380CC4-5D6E-409C-BE32-E72D297353CC}">
              <c16:uniqueId val="{00000000-8AED-42BB-BE75-43CF1B646B56}"/>
            </c:ext>
          </c:extLst>
        </c:ser>
        <c:dLbls>
          <c:showLegendKey val="0"/>
          <c:showVal val="0"/>
          <c:showCatName val="0"/>
          <c:showSerName val="0"/>
          <c:showPercent val="0"/>
          <c:showBubbleSize val="0"/>
        </c:dLbls>
        <c:gapWidth val="269"/>
        <c:axId val="2031878751"/>
        <c:axId val="2031879231"/>
      </c:barChart>
      <c:valAx>
        <c:axId val="203187923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1878751"/>
        <c:crosses val="autoZero"/>
        <c:crossBetween val="between"/>
      </c:valAx>
      <c:catAx>
        <c:axId val="2031878751"/>
        <c:scaling>
          <c:orientation val="minMax"/>
        </c:scaling>
        <c:delete val="0"/>
        <c:axPos val="l"/>
        <c:numFmt formatCode="General" sourceLinked="1"/>
        <c:majorTickMark val="none"/>
        <c:minorTickMark val="none"/>
        <c:tickLblPos val="nextTo"/>
        <c:spPr>
          <a:noFill/>
          <a:ln w="3175" cap="flat" cmpd="sng" algn="ctr">
            <a:solidFill>
              <a:schemeClr val="accent4">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318792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1-5 (file 2).xlsx]Sheet3!PivotTable3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Monthly Sales Trends – Top 3 Restaurants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round/>
          </a:ln>
          <a:effectLst/>
        </c:spPr>
        <c:marker>
          <c:symbol val="square"/>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triangl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Sheet3!$B$4:$B$5</c:f>
              <c:strCache>
                <c:ptCount val="1"/>
                <c:pt idx="0">
                  <c:v>Domino's Pizza</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multiLvlStrRef>
              <c:f>Sheet3!$A$6:$A$10</c:f>
              <c:multiLvlStrCache>
                <c:ptCount val="3"/>
                <c:lvl>
                  <c:pt idx="0">
                    <c:v>Jan</c:v>
                  </c:pt>
                  <c:pt idx="1">
                    <c:v>Feb</c:v>
                  </c:pt>
                  <c:pt idx="2">
                    <c:v>Mar</c:v>
                  </c:pt>
                </c:lvl>
                <c:lvl>
                  <c:pt idx="0">
                    <c:v>2026</c:v>
                  </c:pt>
                </c:lvl>
              </c:multiLvlStrCache>
            </c:multiLvlStrRef>
          </c:cat>
          <c:val>
            <c:numRef>
              <c:f>Sheet3!$B$6:$B$10</c:f>
              <c:numCache>
                <c:formatCode>General</c:formatCode>
                <c:ptCount val="3"/>
                <c:pt idx="0">
                  <c:v>2050</c:v>
                </c:pt>
                <c:pt idx="1">
                  <c:v>2350</c:v>
                </c:pt>
                <c:pt idx="2">
                  <c:v>2400</c:v>
                </c:pt>
              </c:numCache>
            </c:numRef>
          </c:val>
          <c:smooth val="0"/>
          <c:extLst>
            <c:ext xmlns:c16="http://schemas.microsoft.com/office/drawing/2014/chart" uri="{C3380CC4-5D6E-409C-BE32-E72D297353CC}">
              <c16:uniqueId val="{00000000-CB5D-4490-83F5-CE13058688B4}"/>
            </c:ext>
          </c:extLst>
        </c:ser>
        <c:ser>
          <c:idx val="1"/>
          <c:order val="1"/>
          <c:tx>
            <c:strRef>
              <c:f>Sheet3!$C$4:$C$5</c:f>
              <c:strCache>
                <c:ptCount val="1"/>
                <c:pt idx="0">
                  <c:v>KFC</c:v>
                </c:pt>
              </c:strCache>
            </c:strRef>
          </c:tx>
          <c:spPr>
            <a:ln w="22225" cap="rnd">
              <a:solidFill>
                <a:schemeClr val="accent4"/>
              </a:solidFill>
              <a:round/>
            </a:ln>
            <a:effectLst/>
          </c:spPr>
          <c:marker>
            <c:symbol val="square"/>
            <c:size val="6"/>
            <c:spPr>
              <a:solidFill>
                <a:schemeClr val="accent4"/>
              </a:solidFill>
              <a:ln w="9525">
                <a:solidFill>
                  <a:schemeClr val="accent4"/>
                </a:solidFill>
                <a:round/>
              </a:ln>
              <a:effectLst/>
            </c:spPr>
          </c:marker>
          <c:cat>
            <c:multiLvlStrRef>
              <c:f>Sheet3!$A$6:$A$10</c:f>
              <c:multiLvlStrCache>
                <c:ptCount val="3"/>
                <c:lvl>
                  <c:pt idx="0">
                    <c:v>Jan</c:v>
                  </c:pt>
                  <c:pt idx="1">
                    <c:v>Feb</c:v>
                  </c:pt>
                  <c:pt idx="2">
                    <c:v>Mar</c:v>
                  </c:pt>
                </c:lvl>
                <c:lvl>
                  <c:pt idx="0">
                    <c:v>2026</c:v>
                  </c:pt>
                </c:lvl>
              </c:multiLvlStrCache>
            </c:multiLvlStrRef>
          </c:cat>
          <c:val>
            <c:numRef>
              <c:f>Sheet3!$C$6:$C$10</c:f>
              <c:numCache>
                <c:formatCode>General</c:formatCode>
                <c:ptCount val="3"/>
                <c:pt idx="0">
                  <c:v>1680</c:v>
                </c:pt>
                <c:pt idx="1">
                  <c:v>1850</c:v>
                </c:pt>
                <c:pt idx="2">
                  <c:v>2150</c:v>
                </c:pt>
              </c:numCache>
            </c:numRef>
          </c:val>
          <c:smooth val="0"/>
          <c:extLst>
            <c:ext xmlns:c16="http://schemas.microsoft.com/office/drawing/2014/chart" uri="{C3380CC4-5D6E-409C-BE32-E72D297353CC}">
              <c16:uniqueId val="{00000001-CB5D-4490-83F5-CE13058688B4}"/>
            </c:ext>
          </c:extLst>
        </c:ser>
        <c:ser>
          <c:idx val="2"/>
          <c:order val="2"/>
          <c:tx>
            <c:strRef>
              <c:f>Sheet3!$D$4:$D$5</c:f>
              <c:strCache>
                <c:ptCount val="1"/>
                <c:pt idx="0">
                  <c:v>Pizza Hut</c:v>
                </c:pt>
              </c:strCache>
            </c:strRef>
          </c:tx>
          <c:spPr>
            <a:ln w="22225" cap="rnd">
              <a:solidFill>
                <a:schemeClr val="accent6"/>
              </a:solidFill>
              <a:round/>
            </a:ln>
            <a:effectLst/>
          </c:spPr>
          <c:marker>
            <c:symbol val="triangle"/>
            <c:size val="6"/>
            <c:spPr>
              <a:solidFill>
                <a:schemeClr val="accent6"/>
              </a:solidFill>
              <a:ln w="9525">
                <a:solidFill>
                  <a:schemeClr val="accent6"/>
                </a:solidFill>
                <a:round/>
              </a:ln>
              <a:effectLst/>
            </c:spPr>
          </c:marker>
          <c:cat>
            <c:multiLvlStrRef>
              <c:f>Sheet3!$A$6:$A$10</c:f>
              <c:multiLvlStrCache>
                <c:ptCount val="3"/>
                <c:lvl>
                  <c:pt idx="0">
                    <c:v>Jan</c:v>
                  </c:pt>
                  <c:pt idx="1">
                    <c:v>Feb</c:v>
                  </c:pt>
                  <c:pt idx="2">
                    <c:v>Mar</c:v>
                  </c:pt>
                </c:lvl>
                <c:lvl>
                  <c:pt idx="0">
                    <c:v>2026</c:v>
                  </c:pt>
                </c:lvl>
              </c:multiLvlStrCache>
            </c:multiLvlStrRef>
          </c:cat>
          <c:val>
            <c:numRef>
              <c:f>Sheet3!$D$6:$D$10</c:f>
              <c:numCache>
                <c:formatCode>General</c:formatCode>
                <c:ptCount val="3"/>
                <c:pt idx="0">
                  <c:v>2050</c:v>
                </c:pt>
                <c:pt idx="1">
                  <c:v>2150</c:v>
                </c:pt>
                <c:pt idx="2">
                  <c:v>2500</c:v>
                </c:pt>
              </c:numCache>
            </c:numRef>
          </c:val>
          <c:smooth val="0"/>
          <c:extLst>
            <c:ext xmlns:c16="http://schemas.microsoft.com/office/drawing/2014/chart" uri="{C3380CC4-5D6E-409C-BE32-E72D297353CC}">
              <c16:uniqueId val="{00000002-CB5D-4490-83F5-CE13058688B4}"/>
            </c:ext>
          </c:extLst>
        </c:ser>
        <c:dLbls>
          <c:showLegendKey val="0"/>
          <c:showVal val="0"/>
          <c:showCatName val="0"/>
          <c:showSerName val="0"/>
          <c:showPercent val="0"/>
          <c:showBubbleSize val="0"/>
        </c:dLbls>
        <c:marker val="1"/>
        <c:smooth val="0"/>
        <c:axId val="2031896991"/>
        <c:axId val="2031914271"/>
      </c:lineChart>
      <c:catAx>
        <c:axId val="203189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31914271"/>
        <c:crosses val="autoZero"/>
        <c:auto val="1"/>
        <c:lblAlgn val="ctr"/>
        <c:lblOffset val="100"/>
        <c:noMultiLvlLbl val="0"/>
      </c:catAx>
      <c:valAx>
        <c:axId val="203191427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1-5 (file 2).xlsx]Sheet3!PivotTable3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Trends – Top 3 Restaurants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5.2538020772788779E-3"/>
              <c:y val="-0.1062152464150081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1.7512673590929593E-2"/>
              <c:y val="-1.847221676782755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0"/>
              <c:y val="-4.15624877276118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0"/>
              <c:y val="-1.385416257587058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3.5025347181859186E-3"/>
              <c:y val="-9.236108383913756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0"/>
              <c:y val="-2.309027095978442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Sheet3!$B$4:$B$5</c:f>
              <c:strCache>
                <c:ptCount val="1"/>
                <c:pt idx="0">
                  <c:v>Domino's Pizza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0"/>
              <c:layout>
                <c:manualLayout>
                  <c:x val="1.7512673590929593E-2"/>
                  <c:y val="-1.84722167678275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29-405A-B091-14DADC514F4B}"/>
                </c:ext>
              </c:extLst>
            </c:dLbl>
            <c:dLbl>
              <c:idx val="1"/>
              <c:layout>
                <c:manualLayout>
                  <c:x val="0"/>
                  <c:y val="-4.1562487727611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29-405A-B091-14DADC514F4B}"/>
                </c:ext>
              </c:extLst>
            </c:dLbl>
            <c:dLbl>
              <c:idx val="2"/>
              <c:layout>
                <c:manualLayout>
                  <c:x val="0"/>
                  <c:y val="-2.309027095978442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29-405A-B091-14DADC514F4B}"/>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Sheet3!$A$6:$A$10</c:f>
              <c:multiLvlStrCache>
                <c:ptCount val="3"/>
                <c:lvl>
                  <c:pt idx="0">
                    <c:v>Jan</c:v>
                  </c:pt>
                  <c:pt idx="1">
                    <c:v>Feb</c:v>
                  </c:pt>
                  <c:pt idx="2">
                    <c:v>Mar</c:v>
                  </c:pt>
                </c:lvl>
                <c:lvl>
                  <c:pt idx="0">
                    <c:v>2026</c:v>
                  </c:pt>
                </c:lvl>
              </c:multiLvlStrCache>
            </c:multiLvlStrRef>
          </c:cat>
          <c:val>
            <c:numRef>
              <c:f>Sheet3!$B$6:$B$10</c:f>
              <c:numCache>
                <c:formatCode>General</c:formatCode>
                <c:ptCount val="3"/>
                <c:pt idx="0">
                  <c:v>2050</c:v>
                </c:pt>
                <c:pt idx="1">
                  <c:v>2350</c:v>
                </c:pt>
                <c:pt idx="2">
                  <c:v>2400</c:v>
                </c:pt>
              </c:numCache>
            </c:numRef>
          </c:val>
          <c:smooth val="0"/>
          <c:extLst>
            <c:ext xmlns:c16="http://schemas.microsoft.com/office/drawing/2014/chart" uri="{C3380CC4-5D6E-409C-BE32-E72D297353CC}">
              <c16:uniqueId val="{00000000-A629-405A-B091-14DADC514F4B}"/>
            </c:ext>
          </c:extLst>
        </c:ser>
        <c:ser>
          <c:idx val="1"/>
          <c:order val="1"/>
          <c:tx>
            <c:strRef>
              <c:f>Sheet3!$C$4:$C$5</c:f>
              <c:strCache>
                <c:ptCount val="1"/>
                <c:pt idx="0">
                  <c:v>KFC</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Sheet3!$A$6:$A$10</c:f>
              <c:multiLvlStrCache>
                <c:ptCount val="3"/>
                <c:lvl>
                  <c:pt idx="0">
                    <c:v>Jan</c:v>
                  </c:pt>
                  <c:pt idx="1">
                    <c:v>Feb</c:v>
                  </c:pt>
                  <c:pt idx="2">
                    <c:v>Mar</c:v>
                  </c:pt>
                </c:lvl>
                <c:lvl>
                  <c:pt idx="0">
                    <c:v>2026</c:v>
                  </c:pt>
                </c:lvl>
              </c:multiLvlStrCache>
            </c:multiLvlStrRef>
          </c:cat>
          <c:val>
            <c:numRef>
              <c:f>Sheet3!$C$6:$C$10</c:f>
              <c:numCache>
                <c:formatCode>General</c:formatCode>
                <c:ptCount val="3"/>
                <c:pt idx="0">
                  <c:v>1680</c:v>
                </c:pt>
                <c:pt idx="1">
                  <c:v>1850</c:v>
                </c:pt>
                <c:pt idx="2">
                  <c:v>2150</c:v>
                </c:pt>
              </c:numCache>
            </c:numRef>
          </c:val>
          <c:smooth val="0"/>
          <c:extLst>
            <c:ext xmlns:c16="http://schemas.microsoft.com/office/drawing/2014/chart" uri="{C3380CC4-5D6E-409C-BE32-E72D297353CC}">
              <c16:uniqueId val="{00000001-A629-405A-B091-14DADC514F4B}"/>
            </c:ext>
          </c:extLst>
        </c:ser>
        <c:ser>
          <c:idx val="2"/>
          <c:order val="2"/>
          <c:tx>
            <c:strRef>
              <c:f>Sheet3!$D$4:$D$5</c:f>
              <c:strCache>
                <c:ptCount val="1"/>
                <c:pt idx="0">
                  <c:v>Pizza Hut</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dLbl>
              <c:idx val="0"/>
              <c:layout>
                <c:manualLayout>
                  <c:x val="-5.2538020772788779E-3"/>
                  <c:y val="-0.106215246415008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29-405A-B091-14DADC514F4B}"/>
                </c:ext>
              </c:extLst>
            </c:dLbl>
            <c:dLbl>
              <c:idx val="1"/>
              <c:layout>
                <c:manualLayout>
                  <c:x val="0"/>
                  <c:y val="-1.38541625758705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29-405A-B091-14DADC514F4B}"/>
                </c:ext>
              </c:extLst>
            </c:dLbl>
            <c:dLbl>
              <c:idx val="2"/>
              <c:layout>
                <c:manualLayout>
                  <c:x val="-3.5025347181859186E-3"/>
                  <c:y val="-9.236108383913756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29-405A-B091-14DADC514F4B}"/>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Sheet3!$A$6:$A$10</c:f>
              <c:multiLvlStrCache>
                <c:ptCount val="3"/>
                <c:lvl>
                  <c:pt idx="0">
                    <c:v>Jan</c:v>
                  </c:pt>
                  <c:pt idx="1">
                    <c:v>Feb</c:v>
                  </c:pt>
                  <c:pt idx="2">
                    <c:v>Mar</c:v>
                  </c:pt>
                </c:lvl>
                <c:lvl>
                  <c:pt idx="0">
                    <c:v>2026</c:v>
                  </c:pt>
                </c:lvl>
              </c:multiLvlStrCache>
            </c:multiLvlStrRef>
          </c:cat>
          <c:val>
            <c:numRef>
              <c:f>Sheet3!$D$6:$D$10</c:f>
              <c:numCache>
                <c:formatCode>General</c:formatCode>
                <c:ptCount val="3"/>
                <c:pt idx="0">
                  <c:v>2050</c:v>
                </c:pt>
                <c:pt idx="1">
                  <c:v>2150</c:v>
                </c:pt>
                <c:pt idx="2">
                  <c:v>2500</c:v>
                </c:pt>
              </c:numCache>
            </c:numRef>
          </c:val>
          <c:smooth val="0"/>
          <c:extLst>
            <c:ext xmlns:c16="http://schemas.microsoft.com/office/drawing/2014/chart" uri="{C3380CC4-5D6E-409C-BE32-E72D297353CC}">
              <c16:uniqueId val="{00000002-A629-405A-B091-14DADC514F4B}"/>
            </c:ext>
          </c:extLst>
        </c:ser>
        <c:dLbls>
          <c:showLegendKey val="0"/>
          <c:showVal val="0"/>
          <c:showCatName val="0"/>
          <c:showSerName val="0"/>
          <c:showPercent val="0"/>
          <c:showBubbleSize val="0"/>
        </c:dLbls>
        <c:marker val="1"/>
        <c:smooth val="0"/>
        <c:axId val="2031896991"/>
        <c:axId val="2031914271"/>
      </c:lineChart>
      <c:catAx>
        <c:axId val="20318969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914271"/>
        <c:crosses val="autoZero"/>
        <c:auto val="1"/>
        <c:lblAlgn val="ctr"/>
        <c:lblOffset val="100"/>
        <c:noMultiLvlLbl val="0"/>
      </c:catAx>
      <c:valAx>
        <c:axId val="20319142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89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1-5 (file 2).xlsx]sheet2!PivotTable1</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Sales by Restaurant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4"/>
            </a:fgClr>
            <a:bgClr>
              <a:schemeClr val="lt1"/>
            </a:bgClr>
          </a:pattFill>
          <a:ln>
            <a:noFill/>
          </a:ln>
          <a:effectLst/>
        </c:spPr>
        <c:marker>
          <c:symbol val="circle"/>
          <c:size val="5"/>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pattFill prst="ltUpDiag">
            <a:fgClr>
              <a:schemeClr val="accent4"/>
            </a:fgClr>
            <a:bgClr>
              <a:schemeClr val="lt1"/>
            </a:bgClr>
          </a:pattFill>
          <a:ln>
            <a:noFill/>
          </a:ln>
          <a:effectLst/>
        </c:spPr>
        <c:marker>
          <c:symbol val="none"/>
        </c:marker>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pattFill prst="ltUpDiag">
            <a:fgClr>
              <a:schemeClr val="accent4"/>
            </a:fgClr>
            <a:bgClr>
              <a:schemeClr val="lt1"/>
            </a:bgClr>
          </a:pattFill>
          <a:ln>
            <a:noFill/>
          </a:ln>
          <a:effectLst/>
        </c:spPr>
        <c:marker>
          <c:symbol val="none"/>
        </c:marker>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pattFill prst="ltUpDiag">
            <a:fgClr>
              <a:schemeClr val="accent4">
                <a:tint val="54000"/>
              </a:schemeClr>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spPr>
          <a:pattFill prst="ltUpDiag">
            <a:fgClr>
              <a:schemeClr val="accent4">
                <a:tint val="77000"/>
              </a:schemeClr>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
        <c:spPr>
          <a:pattFill prst="ltUpDiag">
            <a:fgClr>
              <a:schemeClr val="accent4">
                <a:shade val="76000"/>
              </a:schemeClr>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7"/>
        <c:spPr>
          <a:pattFill prst="ltUpDiag">
            <a:fgClr>
              <a:schemeClr val="accent4">
                <a:shade val="53000"/>
              </a:schemeClr>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8"/>
        <c:spPr>
          <a:pattFill prst="ltUpDiag">
            <a:fgClr>
              <a:schemeClr val="accent4"/>
            </a:fgClr>
            <a:bgClr>
              <a:schemeClr val="lt1"/>
            </a:bgClr>
          </a:pattFill>
          <a:ln>
            <a:noFill/>
          </a:ln>
          <a:effectLst/>
        </c:spPr>
        <c:marker>
          <c:symbol val="none"/>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pattFill prst="ltUpDiag">
            <a:fgClr>
              <a:schemeClr val="accent4">
                <a:tint val="54000"/>
              </a:schemeClr>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pattFill prst="ltUpDiag">
            <a:fgClr>
              <a:schemeClr val="accent4">
                <a:tint val="77000"/>
              </a:schemeClr>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pattFill prst="ltUpDiag">
            <a:fgClr>
              <a:schemeClr val="accent4">
                <a:shade val="76000"/>
              </a:schemeClr>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pattFill prst="ltUpDiag">
            <a:fgClr>
              <a:schemeClr val="accent4">
                <a:shade val="53000"/>
              </a:schemeClr>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pattFill prst="ltUpDiag">
            <a:fgClr>
              <a:schemeClr val="accent4"/>
            </a:fgClr>
            <a:bgClr>
              <a:schemeClr val="lt1"/>
            </a:bgClr>
          </a:pattFill>
          <a:ln>
            <a:noFill/>
          </a:ln>
          <a:effectLst/>
        </c:spPr>
        <c:marker>
          <c:symbol val="none"/>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5"/>
        <c:spPr>
          <a:pattFill prst="ltUpDiag">
            <a:fgClr>
              <a:schemeClr val="accent4">
                <a:tint val="54000"/>
              </a:schemeClr>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6"/>
        <c:spPr>
          <a:pattFill prst="ltUpDiag">
            <a:fgClr>
              <a:schemeClr val="accent4">
                <a:tint val="77000"/>
              </a:schemeClr>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7"/>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8"/>
        <c:spPr>
          <a:pattFill prst="ltUpDiag">
            <a:fgClr>
              <a:schemeClr val="accent4">
                <a:shade val="76000"/>
              </a:schemeClr>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9"/>
        <c:spPr>
          <a:pattFill prst="ltUpDiag">
            <a:fgClr>
              <a:schemeClr val="accent4">
                <a:shade val="53000"/>
              </a:schemeClr>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pattFill prst="ltUpDiag">
                <a:fgClr>
                  <a:schemeClr val="accent4">
                    <a:tint val="54000"/>
                  </a:schemeClr>
                </a:fgClr>
                <a:bgClr>
                  <a:schemeClr val="lt1"/>
                </a:bgClr>
              </a:pattFill>
              <a:ln>
                <a:noFill/>
              </a:ln>
              <a:effectLst/>
            </c:spPr>
            <c:extLst>
              <c:ext xmlns:c16="http://schemas.microsoft.com/office/drawing/2014/chart" uri="{C3380CC4-5D6E-409C-BE32-E72D297353CC}">
                <c16:uniqueId val="{00000001-84BE-452F-9C74-0E90BFCAEE9B}"/>
              </c:ext>
            </c:extLst>
          </c:dPt>
          <c:dPt>
            <c:idx val="1"/>
            <c:bubble3D val="0"/>
            <c:spPr>
              <a:pattFill prst="ltUpDiag">
                <a:fgClr>
                  <a:schemeClr val="accent4">
                    <a:tint val="77000"/>
                  </a:schemeClr>
                </a:fgClr>
                <a:bgClr>
                  <a:schemeClr val="lt1"/>
                </a:bgClr>
              </a:pattFill>
              <a:ln>
                <a:noFill/>
              </a:ln>
              <a:effectLst/>
            </c:spPr>
            <c:extLst>
              <c:ext xmlns:c16="http://schemas.microsoft.com/office/drawing/2014/chart" uri="{C3380CC4-5D6E-409C-BE32-E72D297353CC}">
                <c16:uniqueId val="{00000003-84BE-452F-9C74-0E90BFCAEE9B}"/>
              </c:ext>
            </c:extLst>
          </c:dPt>
          <c:dPt>
            <c:idx val="2"/>
            <c:bubble3D val="0"/>
            <c:spPr>
              <a:pattFill prst="ltUpDiag">
                <a:fgClr>
                  <a:schemeClr val="accent4"/>
                </a:fgClr>
                <a:bgClr>
                  <a:schemeClr val="lt1"/>
                </a:bgClr>
              </a:pattFill>
              <a:ln>
                <a:noFill/>
              </a:ln>
              <a:effectLst/>
            </c:spPr>
            <c:extLst>
              <c:ext xmlns:c16="http://schemas.microsoft.com/office/drawing/2014/chart" uri="{C3380CC4-5D6E-409C-BE32-E72D297353CC}">
                <c16:uniqueId val="{00000005-84BE-452F-9C74-0E90BFCAEE9B}"/>
              </c:ext>
            </c:extLst>
          </c:dPt>
          <c:dPt>
            <c:idx val="3"/>
            <c:bubble3D val="0"/>
            <c:spPr>
              <a:pattFill prst="ltUpDiag">
                <a:fgClr>
                  <a:schemeClr val="accent4">
                    <a:shade val="76000"/>
                  </a:schemeClr>
                </a:fgClr>
                <a:bgClr>
                  <a:schemeClr val="lt1"/>
                </a:bgClr>
              </a:pattFill>
              <a:ln>
                <a:noFill/>
              </a:ln>
              <a:effectLst/>
            </c:spPr>
            <c:extLst>
              <c:ext xmlns:c16="http://schemas.microsoft.com/office/drawing/2014/chart" uri="{C3380CC4-5D6E-409C-BE32-E72D297353CC}">
                <c16:uniqueId val="{00000007-84BE-452F-9C74-0E90BFCAEE9B}"/>
              </c:ext>
            </c:extLst>
          </c:dPt>
          <c:dPt>
            <c:idx val="4"/>
            <c:bubble3D val="0"/>
            <c:spPr>
              <a:pattFill prst="ltUpDiag">
                <a:fgClr>
                  <a:schemeClr val="accent4">
                    <a:shade val="53000"/>
                  </a:schemeClr>
                </a:fgClr>
                <a:bgClr>
                  <a:schemeClr val="lt1"/>
                </a:bgClr>
              </a:pattFill>
              <a:ln>
                <a:noFill/>
              </a:ln>
              <a:effectLst/>
            </c:spPr>
            <c:extLst>
              <c:ext xmlns:c16="http://schemas.microsoft.com/office/drawing/2014/chart" uri="{C3380CC4-5D6E-409C-BE32-E72D297353CC}">
                <c16:uniqueId val="{00000009-84BE-452F-9C74-0E90BFCAEE9B}"/>
              </c:ext>
            </c:extLst>
          </c:dPt>
          <c:dLbls>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84BE-452F-9C74-0E90BFCAEE9B}"/>
                </c:ext>
              </c:extLst>
            </c:dLbl>
            <c:dLbl>
              <c:idx val="1"/>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84BE-452F-9C74-0E90BFCAEE9B}"/>
                </c:ext>
              </c:extLst>
            </c:dLbl>
            <c:dLbl>
              <c:idx val="2"/>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84BE-452F-9C74-0E90BFCAEE9B}"/>
                </c:ext>
              </c:extLst>
            </c:dLbl>
            <c:dLbl>
              <c:idx val="3"/>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7-84BE-452F-9C74-0E90BFCAEE9B}"/>
                </c:ext>
              </c:extLst>
            </c:dLbl>
            <c:dLbl>
              <c:idx val="4"/>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9-84BE-452F-9C74-0E90BFCAEE9B}"/>
                </c:ext>
              </c:extLst>
            </c:dLbl>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extLst>
          </c:dLbls>
          <c:cat>
            <c:strRef>
              <c:f>sheet2!$A$4:$A$9</c:f>
              <c:strCache>
                <c:ptCount val="5"/>
                <c:pt idx="0">
                  <c:v>Domino's Pizza</c:v>
                </c:pt>
                <c:pt idx="1">
                  <c:v>KFC</c:v>
                </c:pt>
                <c:pt idx="2">
                  <c:v>McDonald's</c:v>
                </c:pt>
                <c:pt idx="3">
                  <c:v>Pizza Hut</c:v>
                </c:pt>
                <c:pt idx="4">
                  <c:v>Subway</c:v>
                </c:pt>
              </c:strCache>
            </c:strRef>
          </c:cat>
          <c:val>
            <c:numRef>
              <c:f>sheet2!$B$4:$B$9</c:f>
              <c:numCache>
                <c:formatCode>General</c:formatCode>
                <c:ptCount val="5"/>
                <c:pt idx="0">
                  <c:v>6800</c:v>
                </c:pt>
                <c:pt idx="1">
                  <c:v>5680</c:v>
                </c:pt>
                <c:pt idx="2">
                  <c:v>4060</c:v>
                </c:pt>
                <c:pt idx="3">
                  <c:v>6700</c:v>
                </c:pt>
                <c:pt idx="4">
                  <c:v>3650</c:v>
                </c:pt>
              </c:numCache>
            </c:numRef>
          </c:val>
          <c:extLst>
            <c:ext xmlns:c16="http://schemas.microsoft.com/office/drawing/2014/chart" uri="{C3380CC4-5D6E-409C-BE32-E72D297353CC}">
              <c16:uniqueId val="{0000000A-84BE-452F-9C74-0E90BFCAEE9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1-5 (file 2).xlsx]sheet2!PivotTable1</c:name>
    <c:fmtId val="1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Sales by Restaurant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4"/>
            </a:fgClr>
            <a:bgClr>
              <a:schemeClr val="lt1"/>
            </a:bgClr>
          </a:pattFill>
          <a:ln>
            <a:noFill/>
          </a:ln>
          <a:effectLst/>
        </c:spPr>
        <c:marker>
          <c:symbol val="circle"/>
          <c:size val="5"/>
          <c:spPr>
            <a:solidFill>
              <a:schemeClr val="accent4"/>
            </a:solidFill>
            <a:ln w="22225">
              <a:solidFill>
                <a:schemeClr val="lt1"/>
              </a:solidFill>
              <a:round/>
            </a:ln>
            <a:effectLst/>
          </c:spPr>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pattFill prst="ltUpDiag">
            <a:fgClr>
              <a:schemeClr val="accent4"/>
            </a:fgClr>
            <a:bgClr>
              <a:schemeClr val="lt1"/>
            </a:bgClr>
          </a:pattFill>
          <a:ln>
            <a:noFill/>
          </a:ln>
          <a:effectLst/>
        </c:spPr>
        <c:marker>
          <c:symbol val="none"/>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pattFill prst="ltUpDiag">
            <a:fgClr>
              <a:schemeClr val="accent4"/>
            </a:fgClr>
            <a:bgClr>
              <a:schemeClr val="lt1"/>
            </a:bgClr>
          </a:pattFill>
          <a:ln>
            <a:noFill/>
          </a:ln>
          <a:effectLst/>
        </c:spPr>
        <c:marker>
          <c:symbol val="none"/>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pattFill prst="ltUpDiag">
            <a:fgClr>
              <a:schemeClr val="accent4"/>
            </a:fgClr>
            <a:bgClr>
              <a:schemeClr val="lt1"/>
            </a:bgClr>
          </a:pattFill>
          <a:ln>
            <a:noFill/>
          </a:ln>
          <a:effectLst/>
        </c:spP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pattFill prst="ltUpDiag">
            <a:fgClr>
              <a:schemeClr val="accent4"/>
            </a:fgClr>
            <a:bgClr>
              <a:schemeClr val="lt1"/>
            </a:bgClr>
          </a:pattFill>
          <a:ln>
            <a:noFill/>
          </a:ln>
          <a:effectLst/>
        </c:spPr>
        <c:marker>
          <c:symbol val="none"/>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pattFill prst="ltUpDiag">
            <a:fgClr>
              <a:schemeClr val="accent4"/>
            </a:fgClr>
            <a:bgClr>
              <a:schemeClr val="lt1"/>
            </a:bgClr>
          </a:pattFill>
          <a:ln>
            <a:noFill/>
          </a:ln>
          <a:effectLst/>
        </c:spPr>
        <c:marker>
          <c:symbol val="none"/>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pattFill prst="ltUpDiag">
              <a:fgClr>
                <a:schemeClr val="accent4"/>
              </a:fgClr>
              <a:bgClr>
                <a:schemeClr val="lt1"/>
              </a:bgClr>
            </a:pattFill>
            <a:ln>
              <a:noFill/>
            </a:ln>
            <a:effectLst/>
          </c:spPr>
          <c:invertIfNegative val="0"/>
          <c:dLbls>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sheet2!$A$4:$A$9</c:f>
              <c:strCache>
                <c:ptCount val="5"/>
                <c:pt idx="0">
                  <c:v>Domino's Pizza</c:v>
                </c:pt>
                <c:pt idx="1">
                  <c:v>KFC</c:v>
                </c:pt>
                <c:pt idx="2">
                  <c:v>McDonald's</c:v>
                </c:pt>
                <c:pt idx="3">
                  <c:v>Pizza Hut</c:v>
                </c:pt>
                <c:pt idx="4">
                  <c:v>Subway</c:v>
                </c:pt>
              </c:strCache>
            </c:strRef>
          </c:cat>
          <c:val>
            <c:numRef>
              <c:f>sheet2!$B$4:$B$9</c:f>
              <c:numCache>
                <c:formatCode>General</c:formatCode>
                <c:ptCount val="5"/>
                <c:pt idx="0">
                  <c:v>6800</c:v>
                </c:pt>
                <c:pt idx="1">
                  <c:v>5680</c:v>
                </c:pt>
                <c:pt idx="2">
                  <c:v>4060</c:v>
                </c:pt>
                <c:pt idx="3">
                  <c:v>6700</c:v>
                </c:pt>
                <c:pt idx="4">
                  <c:v>3650</c:v>
                </c:pt>
              </c:numCache>
            </c:numRef>
          </c:val>
          <c:extLst>
            <c:ext xmlns:c16="http://schemas.microsoft.com/office/drawing/2014/chart" uri="{C3380CC4-5D6E-409C-BE32-E72D297353CC}">
              <c16:uniqueId val="{00000000-1EB0-4580-822E-CF67CCA47637}"/>
            </c:ext>
          </c:extLst>
        </c:ser>
        <c:dLbls>
          <c:showLegendKey val="0"/>
          <c:showVal val="0"/>
          <c:showCatName val="0"/>
          <c:showSerName val="0"/>
          <c:showPercent val="0"/>
          <c:showBubbleSize val="0"/>
        </c:dLbls>
        <c:gapWidth val="269"/>
        <c:axId val="2031878751"/>
        <c:axId val="2031879231"/>
      </c:barChart>
      <c:valAx>
        <c:axId val="203187923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1878751"/>
        <c:crosses val="autoZero"/>
        <c:crossBetween val="between"/>
      </c:valAx>
      <c:catAx>
        <c:axId val="2031878751"/>
        <c:scaling>
          <c:orientation val="minMax"/>
        </c:scaling>
        <c:delete val="0"/>
        <c:axPos val="l"/>
        <c:numFmt formatCode="General" sourceLinked="1"/>
        <c:majorTickMark val="none"/>
        <c:minorTickMark val="none"/>
        <c:tickLblPos val="nextTo"/>
        <c:spPr>
          <a:noFill/>
          <a:ln w="3175" cap="flat" cmpd="sng" algn="ctr">
            <a:solidFill>
              <a:schemeClr val="accent4">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318792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487680</xdr:colOff>
      <xdr:row>1</xdr:row>
      <xdr:rowOff>91440</xdr:rowOff>
    </xdr:from>
    <xdr:to>
      <xdr:col>10</xdr:col>
      <xdr:colOff>182880</xdr:colOff>
      <xdr:row>16</xdr:row>
      <xdr:rowOff>91440</xdr:rowOff>
    </xdr:to>
    <xdr:graphicFrame macro="">
      <xdr:nvGraphicFramePr>
        <xdr:cNvPr id="2" name="Chart 1">
          <a:extLst>
            <a:ext uri="{FF2B5EF4-FFF2-40B4-BE49-F238E27FC236}">
              <a16:creationId xmlns:a16="http://schemas.microsoft.com/office/drawing/2014/main" id="{4F99DA25-51E0-19D9-81C7-83B4072EA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396240</xdr:colOff>
      <xdr:row>3</xdr:row>
      <xdr:rowOff>30480</xdr:rowOff>
    </xdr:from>
    <xdr:to>
      <xdr:col>13</xdr:col>
      <xdr:colOff>396240</xdr:colOff>
      <xdr:row>17</xdr:row>
      <xdr:rowOff>51435</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C7D83A6F-8A98-ED93-903C-DC091F5875D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467600" y="579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xdr:colOff>
      <xdr:row>1</xdr:row>
      <xdr:rowOff>60960</xdr:rowOff>
    </xdr:from>
    <xdr:to>
      <xdr:col>13</xdr:col>
      <xdr:colOff>213360</xdr:colOff>
      <xdr:row>16</xdr:row>
      <xdr:rowOff>60960</xdr:rowOff>
    </xdr:to>
    <xdr:graphicFrame macro="">
      <xdr:nvGraphicFramePr>
        <xdr:cNvPr id="2" name="Chart 1">
          <a:extLst>
            <a:ext uri="{FF2B5EF4-FFF2-40B4-BE49-F238E27FC236}">
              <a16:creationId xmlns:a16="http://schemas.microsoft.com/office/drawing/2014/main" id="{893D8933-6343-51E0-38A1-FB2E70939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xdr:colOff>
      <xdr:row>7</xdr:row>
      <xdr:rowOff>15240</xdr:rowOff>
    </xdr:from>
    <xdr:to>
      <xdr:col>14</xdr:col>
      <xdr:colOff>601980</xdr:colOff>
      <xdr:row>22</xdr:row>
      <xdr:rowOff>15240</xdr:rowOff>
    </xdr:to>
    <xdr:graphicFrame macro="">
      <xdr:nvGraphicFramePr>
        <xdr:cNvPr id="2" name="Chart 1">
          <a:extLst>
            <a:ext uri="{FF2B5EF4-FFF2-40B4-BE49-F238E27FC236}">
              <a16:creationId xmlns:a16="http://schemas.microsoft.com/office/drawing/2014/main" id="{5A0FA49A-6A69-40FE-BDDC-32C5357A2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448850</xdr:colOff>
      <xdr:row>22</xdr:row>
      <xdr:rowOff>44302</xdr:rowOff>
    </xdr:from>
    <xdr:to>
      <xdr:col>15</xdr:col>
      <xdr:colOff>7558</xdr:colOff>
      <xdr:row>37</xdr:row>
      <xdr:rowOff>90535</xdr:rowOff>
    </xdr:to>
    <xdr:graphicFrame macro="">
      <xdr:nvGraphicFramePr>
        <xdr:cNvPr id="3" name="Chart 2">
          <a:extLst>
            <a:ext uri="{FF2B5EF4-FFF2-40B4-BE49-F238E27FC236}">
              <a16:creationId xmlns:a16="http://schemas.microsoft.com/office/drawing/2014/main" id="{A95C4B26-7854-413C-866E-8168779B9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11907</xdr:colOff>
      <xdr:row>22</xdr:row>
      <xdr:rowOff>44301</xdr:rowOff>
    </xdr:from>
    <xdr:to>
      <xdr:col>8</xdr:col>
      <xdr:colOff>396658</xdr:colOff>
      <xdr:row>37</xdr:row>
      <xdr:rowOff>88604</xdr:rowOff>
    </xdr:to>
    <xdr:graphicFrame macro="">
      <xdr:nvGraphicFramePr>
        <xdr:cNvPr id="4" name="Chart 3">
          <a:extLst>
            <a:ext uri="{FF2B5EF4-FFF2-40B4-BE49-F238E27FC236}">
              <a16:creationId xmlns:a16="http://schemas.microsoft.com/office/drawing/2014/main" id="{20F8C7A6-B166-4B29-9016-8AA356542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37</xdr:row>
      <xdr:rowOff>135700</xdr:rowOff>
    </xdr:from>
    <xdr:to>
      <xdr:col>14</xdr:col>
      <xdr:colOff>602957</xdr:colOff>
      <xdr:row>41</xdr:row>
      <xdr:rowOff>17081</xdr:rowOff>
    </xdr:to>
    <mc:AlternateContent xmlns:mc="http://schemas.openxmlformats.org/markup-compatibility/2006">
      <mc:Choice xmlns:a14="http://schemas.microsoft.com/office/drawing/2010/main" Requires="a14">
        <xdr:graphicFrame macro="">
          <xdr:nvGraphicFramePr>
            <xdr:cNvPr id="5" name="Month 1">
              <a:extLst>
                <a:ext uri="{FF2B5EF4-FFF2-40B4-BE49-F238E27FC236}">
                  <a16:creationId xmlns:a16="http://schemas.microsoft.com/office/drawing/2014/main" id="{B9204166-0108-411B-B0B9-81360CF8C1E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816274" y="7087645"/>
              <a:ext cx="7262628" cy="632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317.73166863426" createdVersion="8" refreshedVersion="8" minRefreshableVersion="3" recordCount="30" xr:uid="{0A30CF29-90F4-43B6-A46D-2F5DF7AA7DB2}">
  <cacheSource type="worksheet">
    <worksheetSource ref="A1:E31" sheet="sheet1"/>
  </cacheSource>
  <cacheFields count="7">
    <cacheField name="Order ID" numFmtId="0">
      <sharedItems/>
    </cacheField>
    <cacheField name="Restaurant" numFmtId="0">
      <sharedItems count="5">
        <s v="Domino's Pizza"/>
        <s v="McDonald's"/>
        <s v="Pizza Hut"/>
        <s v="Subway"/>
        <s v="KFC"/>
      </sharedItems>
    </cacheField>
    <cacheField name="Order Date" numFmtId="15">
      <sharedItems containsSemiMixedTypes="0" containsNonDate="0" containsDate="1" containsString="0" minDate="2026-01-05T00:00:00" maxDate="2026-03-31T00:00:00" count="30">
        <d v="2026-01-05T00:00:00"/>
        <d v="2026-01-07T00:00:00"/>
        <d v="2026-01-10T00:00:00"/>
        <d v="2026-01-12T00:00:00"/>
        <d v="2026-01-15T00:00:00"/>
        <d v="2026-01-18T00:00:00"/>
        <d v="2026-01-20T00:00:00"/>
        <d v="2026-01-22T00:00:00"/>
        <d v="2026-01-25T00:00:00"/>
        <d v="2026-01-28T00:00:00"/>
        <d v="2026-02-03T00:00:00"/>
        <d v="2026-02-05T00:00:00"/>
        <d v="2026-02-08T00:00:00"/>
        <d v="2026-02-11T00:00:00"/>
        <d v="2026-02-14T00:00:00"/>
        <d v="2026-02-17T00:00:00"/>
        <d v="2026-02-19T00:00:00"/>
        <d v="2026-02-22T00:00:00"/>
        <d v="2026-02-25T00:00:00"/>
        <d v="2026-02-27T00:00:00"/>
        <d v="2026-03-04T00:00:00"/>
        <d v="2026-03-07T00:00:00"/>
        <d v="2026-03-10T00:00:00"/>
        <d v="2026-03-13T00:00:00"/>
        <d v="2026-03-16T00:00:00"/>
        <d v="2026-03-19T00:00:00"/>
        <d v="2026-03-22T00:00:00"/>
        <d v="2026-03-25T00:00:00"/>
        <d v="2026-03-27T00:00:00"/>
        <d v="2026-03-30T00:00:00"/>
      </sharedItems>
      <fieldGroup par="6"/>
    </cacheField>
    <cacheField name="Total Amount (₹)" numFmtId="0">
      <sharedItems containsSemiMixedTypes="0" containsString="0" containsNumber="1" containsInteger="1" minValue="450" maxValue="1400"/>
    </cacheField>
    <cacheField name="Month" numFmtId="0">
      <sharedItems count="3">
        <s v="January"/>
        <s v="February"/>
        <s v="March"/>
      </sharedItems>
    </cacheField>
    <cacheField name="Months (Order Date)" numFmtId="0" databaseField="0">
      <fieldGroup base="2">
        <rangePr groupBy="months" startDate="2026-01-05T00:00:00" endDate="2026-03-31T00:00:00"/>
        <groupItems count="14">
          <s v="&lt;05-01-2026"/>
          <s v="Jan"/>
          <s v="Feb"/>
          <s v="Mar"/>
          <s v="Apr"/>
          <s v="May"/>
          <s v="Jun"/>
          <s v="Jul"/>
          <s v="Aug"/>
          <s v="Sep"/>
          <s v="Oct"/>
          <s v="Nov"/>
          <s v="Dec"/>
          <s v="&gt;31-03-2026"/>
        </groupItems>
      </fieldGroup>
    </cacheField>
    <cacheField name="Years (Order Date)" numFmtId="0" databaseField="0">
      <fieldGroup base="2">
        <rangePr groupBy="years" startDate="2026-01-05T00:00:00" endDate="2026-03-31T00:00:00"/>
        <groupItems count="3">
          <s v="&lt;05-01-2026"/>
          <s v="2026"/>
          <s v="&gt;31-03-2026"/>
        </groupItems>
      </fieldGroup>
    </cacheField>
  </cacheFields>
  <extLst>
    <ext xmlns:x14="http://schemas.microsoft.com/office/spreadsheetml/2009/9/main" uri="{725AE2AE-9491-48be-B2B4-4EB974FC3084}">
      <x14:pivotCacheDefinition pivotCacheId="708047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ORD101"/>
    <x v="0"/>
    <x v="0"/>
    <n v="850"/>
    <x v="0"/>
  </r>
  <r>
    <s v="ORD102"/>
    <x v="1"/>
    <x v="1"/>
    <n v="620"/>
    <x v="0"/>
  </r>
  <r>
    <s v="ORD103"/>
    <x v="2"/>
    <x v="2"/>
    <n v="950"/>
    <x v="0"/>
  </r>
  <r>
    <s v="ORD104"/>
    <x v="3"/>
    <x v="3"/>
    <n v="450"/>
    <x v="0"/>
  </r>
  <r>
    <s v="ORD105"/>
    <x v="0"/>
    <x v="4"/>
    <n v="1200"/>
    <x v="0"/>
  </r>
  <r>
    <s v="ORD106"/>
    <x v="4"/>
    <x v="5"/>
    <n v="780"/>
    <x v="0"/>
  </r>
  <r>
    <s v="ORD107"/>
    <x v="1"/>
    <x v="6"/>
    <n v="540"/>
    <x v="0"/>
  </r>
  <r>
    <s v="ORD108"/>
    <x v="2"/>
    <x v="7"/>
    <n v="1100"/>
    <x v="0"/>
  </r>
  <r>
    <s v="ORD109"/>
    <x v="3"/>
    <x v="8"/>
    <n v="600"/>
    <x v="0"/>
  </r>
  <r>
    <s v="ORD110"/>
    <x v="4"/>
    <x v="9"/>
    <n v="900"/>
    <x v="0"/>
  </r>
  <r>
    <s v="ORD111"/>
    <x v="0"/>
    <x v="10"/>
    <n v="950"/>
    <x v="1"/>
  </r>
  <r>
    <s v="ORD112"/>
    <x v="1"/>
    <x v="11"/>
    <n v="700"/>
    <x v="1"/>
  </r>
  <r>
    <s v="ORD113"/>
    <x v="2"/>
    <x v="12"/>
    <n v="1250"/>
    <x v="1"/>
  </r>
  <r>
    <s v="ORD114"/>
    <x v="3"/>
    <x v="13"/>
    <n v="500"/>
    <x v="1"/>
  </r>
  <r>
    <s v="ORD115"/>
    <x v="4"/>
    <x v="14"/>
    <n v="850"/>
    <x v="1"/>
  </r>
  <r>
    <s v="ORD116"/>
    <x v="0"/>
    <x v="15"/>
    <n v="1400"/>
    <x v="1"/>
  </r>
  <r>
    <s v="ORD117"/>
    <x v="1"/>
    <x v="16"/>
    <n v="650"/>
    <x v="1"/>
  </r>
  <r>
    <s v="ORD118"/>
    <x v="2"/>
    <x v="17"/>
    <n v="900"/>
    <x v="1"/>
  </r>
  <r>
    <s v="ORD119"/>
    <x v="3"/>
    <x v="18"/>
    <n v="750"/>
    <x v="1"/>
  </r>
  <r>
    <s v="ORD120"/>
    <x v="4"/>
    <x v="19"/>
    <n v="1000"/>
    <x v="1"/>
  </r>
  <r>
    <s v="ORD121"/>
    <x v="0"/>
    <x v="20"/>
    <n v="1100"/>
    <x v="2"/>
  </r>
  <r>
    <s v="ORD122"/>
    <x v="1"/>
    <x v="21"/>
    <n v="800"/>
    <x v="2"/>
  </r>
  <r>
    <s v="ORD123"/>
    <x v="2"/>
    <x v="22"/>
    <n v="1350"/>
    <x v="2"/>
  </r>
  <r>
    <s v="ORD124"/>
    <x v="3"/>
    <x v="23"/>
    <n v="650"/>
    <x v="2"/>
  </r>
  <r>
    <s v="ORD125"/>
    <x v="4"/>
    <x v="24"/>
    <n v="950"/>
    <x v="2"/>
  </r>
  <r>
    <s v="ORD126"/>
    <x v="0"/>
    <x v="25"/>
    <n v="1300"/>
    <x v="2"/>
  </r>
  <r>
    <s v="ORD127"/>
    <x v="1"/>
    <x v="26"/>
    <n v="750"/>
    <x v="2"/>
  </r>
  <r>
    <s v="ORD128"/>
    <x v="2"/>
    <x v="27"/>
    <n v="1150"/>
    <x v="2"/>
  </r>
  <r>
    <s v="ORD129"/>
    <x v="3"/>
    <x v="28"/>
    <n v="700"/>
    <x v="2"/>
  </r>
  <r>
    <s v="ORD130"/>
    <x v="4"/>
    <x v="29"/>
    <n v="12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BBDA7F-A199-4536-AB39-F4A75477F5FC}"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rowPageCount="1" colPageCount="1"/>
  <pivotFields count="7">
    <pivotField showAll="0"/>
    <pivotField axis="axisRow" showAll="0">
      <items count="6">
        <item x="0"/>
        <item x="4"/>
        <item x="1"/>
        <item x="2"/>
        <item x="3"/>
        <item t="default"/>
      </items>
    </pivotField>
    <pivotField axis="axisPage"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
  </rowFields>
  <rowItems count="6">
    <i>
      <x/>
    </i>
    <i>
      <x v="1"/>
    </i>
    <i>
      <x v="2"/>
    </i>
    <i>
      <x v="3"/>
    </i>
    <i>
      <x v="4"/>
    </i>
    <i t="grand">
      <x/>
    </i>
  </rowItems>
  <colItems count="1">
    <i/>
  </colItems>
  <pageFields count="1">
    <pageField fld="2" hier="-1"/>
  </pageFields>
  <dataFields count="1">
    <dataField name="Sum of Total Amount (₹)" fld="3" baseField="0" baseItem="0"/>
  </dataFields>
  <chartFormats count="13">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3"/>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1" count="1" selected="0">
            <x v="0"/>
          </reference>
        </references>
      </pivotArea>
    </chartFormat>
    <chartFormat chart="14" format="16">
      <pivotArea type="data" outline="0" fieldPosition="0">
        <references count="2">
          <reference field="4294967294" count="1" selected="0">
            <x v="0"/>
          </reference>
          <reference field="1" count="1" selected="0">
            <x v="1"/>
          </reference>
        </references>
      </pivotArea>
    </chartFormat>
    <chartFormat chart="14" format="17">
      <pivotArea type="data" outline="0" fieldPosition="0">
        <references count="2">
          <reference field="4294967294" count="1" selected="0">
            <x v="0"/>
          </reference>
          <reference field="1" count="1" selected="0">
            <x v="2"/>
          </reference>
        </references>
      </pivotArea>
    </chartFormat>
    <chartFormat chart="14" format="18">
      <pivotArea type="data" outline="0" fieldPosition="0">
        <references count="2">
          <reference field="4294967294" count="1" selected="0">
            <x v="0"/>
          </reference>
          <reference field="1" count="1" selected="0">
            <x v="3"/>
          </reference>
        </references>
      </pivotArea>
    </chartFormat>
    <chartFormat chart="14" format="19">
      <pivotArea type="data" outline="0" fieldPosition="0">
        <references count="2">
          <reference field="4294967294" count="1" selected="0">
            <x v="0"/>
          </reference>
          <reference field="1" count="1" selected="0">
            <x v="4"/>
          </reference>
        </references>
      </pivotArea>
    </chartFormat>
    <chartFormat chart="19"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1B9115-3910-4851-B408-35A3462F3526}"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E10" firstHeaderRow="1" firstDataRow="2" firstDataCol="1"/>
  <pivotFields count="7">
    <pivotField showAll="0"/>
    <pivotField axis="axisCol" showAll="0">
      <items count="6">
        <item x="0"/>
        <item x="4"/>
        <item h="1" x="1"/>
        <item x="2"/>
        <item h="1" x="3"/>
        <item t="default"/>
      </items>
    </pivotField>
    <pivotField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showAll="0">
      <items count="4">
        <item x="0"/>
        <item x="1"/>
        <item x="2"/>
        <item t="default"/>
      </items>
    </pivotField>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6"/>
    <field x="5"/>
  </rowFields>
  <rowItems count="5">
    <i>
      <x v="1"/>
    </i>
    <i r="1">
      <x v="1"/>
    </i>
    <i r="1">
      <x v="2"/>
    </i>
    <i r="1">
      <x v="3"/>
    </i>
    <i t="grand">
      <x/>
    </i>
  </rowItems>
  <colFields count="1">
    <field x="1"/>
  </colFields>
  <colItems count="4">
    <i>
      <x/>
    </i>
    <i>
      <x v="1"/>
    </i>
    <i>
      <x v="3"/>
    </i>
    <i t="grand">
      <x/>
    </i>
  </colItems>
  <dataFields count="1">
    <dataField name="Sum of Total Amount (₹)" fld="3" baseField="0" baseItem="0"/>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3"/>
          </reference>
        </references>
      </pivotArea>
    </chartFormat>
    <chartFormat chart="8" format="9">
      <pivotArea type="data" outline="0" fieldPosition="0">
        <references count="4">
          <reference field="4294967294" count="1" selected="0">
            <x v="0"/>
          </reference>
          <reference field="1" count="1" selected="0">
            <x v="3"/>
          </reference>
          <reference field="5" count="1" selected="0">
            <x v="1"/>
          </reference>
          <reference field="6" count="1" selected="0">
            <x v="1"/>
          </reference>
        </references>
      </pivotArea>
    </chartFormat>
    <chartFormat chart="8" format="10">
      <pivotArea type="data" outline="0" fieldPosition="0">
        <references count="4">
          <reference field="4294967294" count="1" selected="0">
            <x v="0"/>
          </reference>
          <reference field="1" count="1" selected="0">
            <x v="0"/>
          </reference>
          <reference field="5" count="1" selected="0">
            <x v="1"/>
          </reference>
          <reference field="6" count="1" selected="0">
            <x v="1"/>
          </reference>
        </references>
      </pivotArea>
    </chartFormat>
    <chartFormat chart="8" format="11">
      <pivotArea type="data" outline="0" fieldPosition="0">
        <references count="4">
          <reference field="4294967294" count="1" selected="0">
            <x v="0"/>
          </reference>
          <reference field="1" count="1" selected="0">
            <x v="0"/>
          </reference>
          <reference field="5" count="1" selected="0">
            <x v="2"/>
          </reference>
          <reference field="6" count="1" selected="0">
            <x v="1"/>
          </reference>
        </references>
      </pivotArea>
    </chartFormat>
    <chartFormat chart="8" format="12">
      <pivotArea type="data" outline="0" fieldPosition="0">
        <references count="4">
          <reference field="4294967294" count="1" selected="0">
            <x v="0"/>
          </reference>
          <reference field="1" count="1" selected="0">
            <x v="3"/>
          </reference>
          <reference field="5" count="1" selected="0">
            <x v="2"/>
          </reference>
          <reference field="6" count="1" selected="0">
            <x v="1"/>
          </reference>
        </references>
      </pivotArea>
    </chartFormat>
    <chartFormat chart="8" format="13">
      <pivotArea type="data" outline="0" fieldPosition="0">
        <references count="4">
          <reference field="4294967294" count="1" selected="0">
            <x v="0"/>
          </reference>
          <reference field="1" count="1" selected="0">
            <x v="3"/>
          </reference>
          <reference field="5" count="1" selected="0">
            <x v="3"/>
          </reference>
          <reference field="6" count="1" selected="0">
            <x v="1"/>
          </reference>
        </references>
      </pivotArea>
    </chartFormat>
    <chartFormat chart="8" format="14">
      <pivotArea type="data" outline="0" fieldPosition="0">
        <references count="4">
          <reference field="4294967294" count="1" selected="0">
            <x v="0"/>
          </reference>
          <reference field="1" count="1" selected="0">
            <x v="0"/>
          </reference>
          <reference field="5" count="1" selected="0">
            <x v="3"/>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7FFC73D-FF3D-404F-AB2A-DFEB3A551B61}" sourceName="Month">
  <pivotTables>
    <pivotTable tabId="2" name="PivotTable1"/>
    <pivotTable tabId="5" name="PivotTable3"/>
  </pivotTables>
  <data>
    <tabular pivotCacheId="70804756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7B5125E-AC32-4A52-B6DF-A0F5F0714048}" cache="Slicer_Month" caption="Mont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CA6A08B-546B-4A57-A122-384BC9170D5E}" cache="Slicer_Month" caption="Month" columnCoun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2E58E-559F-4DC5-918C-46A16371A2D2}">
  <dimension ref="A1:E31"/>
  <sheetViews>
    <sheetView workbookViewId="0">
      <selection activeCell="B19" sqref="B19"/>
    </sheetView>
  </sheetViews>
  <sheetFormatPr defaultRowHeight="14.4" x14ac:dyDescent="0.3"/>
  <cols>
    <col min="3" max="3" width="9.44140625" bestFit="1" customWidth="1"/>
  </cols>
  <sheetData>
    <row r="1" spans="1:5" ht="43.2" x14ac:dyDescent="0.3">
      <c r="A1" s="1" t="s">
        <v>0</v>
      </c>
      <c r="B1" s="1" t="s">
        <v>1</v>
      </c>
      <c r="C1" s="1" t="s">
        <v>2</v>
      </c>
      <c r="D1" s="3" t="s">
        <v>3</v>
      </c>
      <c r="E1" s="1" t="s">
        <v>43</v>
      </c>
    </row>
    <row r="2" spans="1:5" ht="28.8" x14ac:dyDescent="0.3">
      <c r="A2" s="4" t="s">
        <v>4</v>
      </c>
      <c r="B2" s="4" t="s">
        <v>5</v>
      </c>
      <c r="C2" s="5">
        <v>46027</v>
      </c>
      <c r="D2" s="2">
        <v>850</v>
      </c>
      <c r="E2" t="str">
        <f>TEXT(C2,"mmmm")</f>
        <v>January</v>
      </c>
    </row>
    <row r="3" spans="1:5" ht="28.8" x14ac:dyDescent="0.3">
      <c r="A3" s="4" t="s">
        <v>6</v>
      </c>
      <c r="B3" s="4" t="s">
        <v>7</v>
      </c>
      <c r="C3" s="5">
        <v>46029</v>
      </c>
      <c r="D3" s="2">
        <v>620</v>
      </c>
      <c r="E3" t="str">
        <f t="shared" ref="E3:E32" si="0">TEXT(C3,"mmmm")</f>
        <v>January</v>
      </c>
    </row>
    <row r="4" spans="1:5" x14ac:dyDescent="0.3">
      <c r="A4" s="4" t="s">
        <v>8</v>
      </c>
      <c r="B4" s="4" t="s">
        <v>9</v>
      </c>
      <c r="C4" s="5">
        <v>46032</v>
      </c>
      <c r="D4" s="2">
        <v>950</v>
      </c>
      <c r="E4" t="str">
        <f t="shared" si="0"/>
        <v>January</v>
      </c>
    </row>
    <row r="5" spans="1:5" x14ac:dyDescent="0.3">
      <c r="A5" s="4" t="s">
        <v>10</v>
      </c>
      <c r="B5" s="4" t="s">
        <v>11</v>
      </c>
      <c r="C5" s="5">
        <v>46034</v>
      </c>
      <c r="D5" s="2">
        <v>450</v>
      </c>
      <c r="E5" t="str">
        <f t="shared" si="0"/>
        <v>January</v>
      </c>
    </row>
    <row r="6" spans="1:5" ht="28.8" x14ac:dyDescent="0.3">
      <c r="A6" s="4" t="s">
        <v>12</v>
      </c>
      <c r="B6" s="4" t="s">
        <v>5</v>
      </c>
      <c r="C6" s="5">
        <v>46037</v>
      </c>
      <c r="D6" s="2">
        <v>1200</v>
      </c>
      <c r="E6" t="str">
        <f t="shared" si="0"/>
        <v>January</v>
      </c>
    </row>
    <row r="7" spans="1:5" x14ac:dyDescent="0.3">
      <c r="A7" s="4" t="s">
        <v>13</v>
      </c>
      <c r="B7" s="4" t="s">
        <v>14</v>
      </c>
      <c r="C7" s="5">
        <v>46040</v>
      </c>
      <c r="D7" s="2">
        <v>780</v>
      </c>
      <c r="E7" t="str">
        <f t="shared" si="0"/>
        <v>January</v>
      </c>
    </row>
    <row r="8" spans="1:5" ht="28.8" x14ac:dyDescent="0.3">
      <c r="A8" s="4" t="s">
        <v>15</v>
      </c>
      <c r="B8" s="4" t="s">
        <v>7</v>
      </c>
      <c r="C8" s="5">
        <v>46042</v>
      </c>
      <c r="D8" s="2">
        <v>540</v>
      </c>
      <c r="E8" t="str">
        <f t="shared" si="0"/>
        <v>January</v>
      </c>
    </row>
    <row r="9" spans="1:5" x14ac:dyDescent="0.3">
      <c r="A9" s="4" t="s">
        <v>16</v>
      </c>
      <c r="B9" s="4" t="s">
        <v>9</v>
      </c>
      <c r="C9" s="5">
        <v>46044</v>
      </c>
      <c r="D9" s="2">
        <v>1100</v>
      </c>
      <c r="E9" t="str">
        <f t="shared" si="0"/>
        <v>January</v>
      </c>
    </row>
    <row r="10" spans="1:5" x14ac:dyDescent="0.3">
      <c r="A10" s="4" t="s">
        <v>17</v>
      </c>
      <c r="B10" s="4" t="s">
        <v>11</v>
      </c>
      <c r="C10" s="5">
        <v>46047</v>
      </c>
      <c r="D10" s="2">
        <v>600</v>
      </c>
      <c r="E10" t="str">
        <f t="shared" si="0"/>
        <v>January</v>
      </c>
    </row>
    <row r="11" spans="1:5" x14ac:dyDescent="0.3">
      <c r="A11" s="4" t="s">
        <v>18</v>
      </c>
      <c r="B11" s="4" t="s">
        <v>14</v>
      </c>
      <c r="C11" s="5">
        <v>46050</v>
      </c>
      <c r="D11" s="2">
        <v>900</v>
      </c>
      <c r="E11" t="str">
        <f t="shared" si="0"/>
        <v>January</v>
      </c>
    </row>
    <row r="12" spans="1:5" ht="28.8" x14ac:dyDescent="0.3">
      <c r="A12" s="4" t="s">
        <v>19</v>
      </c>
      <c r="B12" s="4" t="s">
        <v>5</v>
      </c>
      <c r="C12" s="5">
        <v>46056</v>
      </c>
      <c r="D12" s="2">
        <v>950</v>
      </c>
      <c r="E12" t="str">
        <f t="shared" si="0"/>
        <v>February</v>
      </c>
    </row>
    <row r="13" spans="1:5" ht="28.8" x14ac:dyDescent="0.3">
      <c r="A13" s="4" t="s">
        <v>20</v>
      </c>
      <c r="B13" s="4" t="s">
        <v>7</v>
      </c>
      <c r="C13" s="5">
        <v>46058</v>
      </c>
      <c r="D13" s="2">
        <v>700</v>
      </c>
      <c r="E13" t="str">
        <f t="shared" si="0"/>
        <v>February</v>
      </c>
    </row>
    <row r="14" spans="1:5" x14ac:dyDescent="0.3">
      <c r="A14" s="4" t="s">
        <v>21</v>
      </c>
      <c r="B14" s="4" t="s">
        <v>9</v>
      </c>
      <c r="C14" s="5">
        <v>46061</v>
      </c>
      <c r="D14" s="2">
        <v>1250</v>
      </c>
      <c r="E14" t="str">
        <f t="shared" si="0"/>
        <v>February</v>
      </c>
    </row>
    <row r="15" spans="1:5" x14ac:dyDescent="0.3">
      <c r="A15" s="4" t="s">
        <v>22</v>
      </c>
      <c r="B15" s="4" t="s">
        <v>11</v>
      </c>
      <c r="C15" s="5">
        <v>46064</v>
      </c>
      <c r="D15" s="2">
        <v>500</v>
      </c>
      <c r="E15" t="str">
        <f t="shared" si="0"/>
        <v>February</v>
      </c>
    </row>
    <row r="16" spans="1:5" x14ac:dyDescent="0.3">
      <c r="A16" s="4" t="s">
        <v>23</v>
      </c>
      <c r="B16" s="4" t="s">
        <v>14</v>
      </c>
      <c r="C16" s="5">
        <v>46067</v>
      </c>
      <c r="D16" s="2">
        <v>850</v>
      </c>
      <c r="E16" t="str">
        <f t="shared" si="0"/>
        <v>February</v>
      </c>
    </row>
    <row r="17" spans="1:5" ht="28.8" x14ac:dyDescent="0.3">
      <c r="A17" s="4" t="s">
        <v>24</v>
      </c>
      <c r="B17" s="4" t="s">
        <v>5</v>
      </c>
      <c r="C17" s="5">
        <v>46070</v>
      </c>
      <c r="D17" s="2">
        <v>1400</v>
      </c>
      <c r="E17" t="str">
        <f t="shared" si="0"/>
        <v>February</v>
      </c>
    </row>
    <row r="18" spans="1:5" ht="28.8" x14ac:dyDescent="0.3">
      <c r="A18" s="4" t="s">
        <v>25</v>
      </c>
      <c r="B18" s="4" t="s">
        <v>7</v>
      </c>
      <c r="C18" s="5">
        <v>46072</v>
      </c>
      <c r="D18" s="2">
        <v>650</v>
      </c>
      <c r="E18" t="str">
        <f t="shared" si="0"/>
        <v>February</v>
      </c>
    </row>
    <row r="19" spans="1:5" x14ac:dyDescent="0.3">
      <c r="A19" s="4" t="s">
        <v>26</v>
      </c>
      <c r="B19" s="4" t="s">
        <v>9</v>
      </c>
      <c r="C19" s="5">
        <v>46075</v>
      </c>
      <c r="D19" s="2">
        <v>900</v>
      </c>
      <c r="E19" t="str">
        <f t="shared" si="0"/>
        <v>February</v>
      </c>
    </row>
    <row r="20" spans="1:5" x14ac:dyDescent="0.3">
      <c r="A20" s="4" t="s">
        <v>27</v>
      </c>
      <c r="B20" s="4" t="s">
        <v>11</v>
      </c>
      <c r="C20" s="5">
        <v>46078</v>
      </c>
      <c r="D20" s="2">
        <v>750</v>
      </c>
      <c r="E20" t="str">
        <f t="shared" si="0"/>
        <v>February</v>
      </c>
    </row>
    <row r="21" spans="1:5" x14ac:dyDescent="0.3">
      <c r="A21" s="4" t="s">
        <v>28</v>
      </c>
      <c r="B21" s="4" t="s">
        <v>14</v>
      </c>
      <c r="C21" s="5">
        <v>46080</v>
      </c>
      <c r="D21" s="2">
        <v>1000</v>
      </c>
      <c r="E21" t="str">
        <f t="shared" si="0"/>
        <v>February</v>
      </c>
    </row>
    <row r="22" spans="1:5" ht="28.8" x14ac:dyDescent="0.3">
      <c r="A22" s="4" t="s">
        <v>29</v>
      </c>
      <c r="B22" s="4" t="s">
        <v>5</v>
      </c>
      <c r="C22" s="5">
        <v>46085</v>
      </c>
      <c r="D22" s="2">
        <v>1100</v>
      </c>
      <c r="E22" t="str">
        <f t="shared" si="0"/>
        <v>March</v>
      </c>
    </row>
    <row r="23" spans="1:5" ht="28.8" x14ac:dyDescent="0.3">
      <c r="A23" s="4" t="s">
        <v>30</v>
      </c>
      <c r="B23" s="4" t="s">
        <v>7</v>
      </c>
      <c r="C23" s="5">
        <v>46088</v>
      </c>
      <c r="D23" s="2">
        <v>800</v>
      </c>
      <c r="E23" t="str">
        <f t="shared" si="0"/>
        <v>March</v>
      </c>
    </row>
    <row r="24" spans="1:5" x14ac:dyDescent="0.3">
      <c r="A24" s="4" t="s">
        <v>31</v>
      </c>
      <c r="B24" s="4" t="s">
        <v>9</v>
      </c>
      <c r="C24" s="5">
        <v>46091</v>
      </c>
      <c r="D24" s="2">
        <v>1350</v>
      </c>
      <c r="E24" t="str">
        <f t="shared" si="0"/>
        <v>March</v>
      </c>
    </row>
    <row r="25" spans="1:5" x14ac:dyDescent="0.3">
      <c r="A25" s="4" t="s">
        <v>32</v>
      </c>
      <c r="B25" s="4" t="s">
        <v>11</v>
      </c>
      <c r="C25" s="5">
        <v>46094</v>
      </c>
      <c r="D25" s="2">
        <v>650</v>
      </c>
      <c r="E25" t="str">
        <f t="shared" si="0"/>
        <v>March</v>
      </c>
    </row>
    <row r="26" spans="1:5" x14ac:dyDescent="0.3">
      <c r="A26" s="4" t="s">
        <v>33</v>
      </c>
      <c r="B26" s="4" t="s">
        <v>14</v>
      </c>
      <c r="C26" s="5">
        <v>46097</v>
      </c>
      <c r="D26" s="2">
        <v>950</v>
      </c>
      <c r="E26" t="str">
        <f t="shared" si="0"/>
        <v>March</v>
      </c>
    </row>
    <row r="27" spans="1:5" ht="28.8" x14ac:dyDescent="0.3">
      <c r="A27" s="4" t="s">
        <v>34</v>
      </c>
      <c r="B27" s="4" t="s">
        <v>5</v>
      </c>
      <c r="C27" s="5">
        <v>46100</v>
      </c>
      <c r="D27" s="2">
        <v>1300</v>
      </c>
      <c r="E27" t="str">
        <f t="shared" si="0"/>
        <v>March</v>
      </c>
    </row>
    <row r="28" spans="1:5" ht="28.8" x14ac:dyDescent="0.3">
      <c r="A28" s="4" t="s">
        <v>35</v>
      </c>
      <c r="B28" s="4" t="s">
        <v>7</v>
      </c>
      <c r="C28" s="5">
        <v>46103</v>
      </c>
      <c r="D28" s="2">
        <v>750</v>
      </c>
      <c r="E28" t="str">
        <f t="shared" si="0"/>
        <v>March</v>
      </c>
    </row>
    <row r="29" spans="1:5" x14ac:dyDescent="0.3">
      <c r="A29" s="4" t="s">
        <v>36</v>
      </c>
      <c r="B29" s="4" t="s">
        <v>9</v>
      </c>
      <c r="C29" s="5">
        <v>46106</v>
      </c>
      <c r="D29" s="2">
        <v>1150</v>
      </c>
      <c r="E29" t="str">
        <f t="shared" si="0"/>
        <v>March</v>
      </c>
    </row>
    <row r="30" spans="1:5" x14ac:dyDescent="0.3">
      <c r="A30" s="4" t="s">
        <v>37</v>
      </c>
      <c r="B30" s="4" t="s">
        <v>11</v>
      </c>
      <c r="C30" s="5">
        <v>46108</v>
      </c>
      <c r="D30" s="2">
        <v>700</v>
      </c>
      <c r="E30" t="str">
        <f t="shared" si="0"/>
        <v>March</v>
      </c>
    </row>
    <row r="31" spans="1:5" x14ac:dyDescent="0.3">
      <c r="A31" s="4" t="s">
        <v>38</v>
      </c>
      <c r="B31" s="4" t="s">
        <v>14</v>
      </c>
      <c r="C31" s="5">
        <v>46111</v>
      </c>
      <c r="D31" s="2">
        <v>1200</v>
      </c>
      <c r="E31" t="str">
        <f t="shared" si="0"/>
        <v>March</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A49B-29A3-4B73-8A81-E33747E3CF7A}">
  <dimension ref="A1:B9"/>
  <sheetViews>
    <sheetView workbookViewId="0">
      <selection activeCell="H21" sqref="H21"/>
    </sheetView>
  </sheetViews>
  <sheetFormatPr defaultRowHeight="14.4" x14ac:dyDescent="0.3"/>
  <cols>
    <col min="1" max="1" width="12.88671875" bestFit="1" customWidth="1"/>
    <col min="2" max="2" width="20.77734375" bestFit="1" customWidth="1"/>
    <col min="3" max="3" width="8.33203125" bestFit="1" customWidth="1"/>
    <col min="4" max="4" width="6.109375" bestFit="1" customWidth="1"/>
    <col min="5" max="5" width="10.5546875" bestFit="1" customWidth="1"/>
  </cols>
  <sheetData>
    <row r="1" spans="1:2" x14ac:dyDescent="0.3">
      <c r="A1" s="6" t="s">
        <v>2</v>
      </c>
      <c r="B1" t="s">
        <v>42</v>
      </c>
    </row>
    <row r="3" spans="1:2" x14ac:dyDescent="0.3">
      <c r="A3" s="6" t="s">
        <v>39</v>
      </c>
      <c r="B3" t="s">
        <v>41</v>
      </c>
    </row>
    <row r="4" spans="1:2" x14ac:dyDescent="0.3">
      <c r="A4" s="7" t="s">
        <v>5</v>
      </c>
      <c r="B4" s="8">
        <v>6800</v>
      </c>
    </row>
    <row r="5" spans="1:2" x14ac:dyDescent="0.3">
      <c r="A5" s="7" t="s">
        <v>14</v>
      </c>
      <c r="B5" s="8">
        <v>5680</v>
      </c>
    </row>
    <row r="6" spans="1:2" x14ac:dyDescent="0.3">
      <c r="A6" s="7" t="s">
        <v>7</v>
      </c>
      <c r="B6" s="8">
        <v>4060</v>
      </c>
    </row>
    <row r="7" spans="1:2" x14ac:dyDescent="0.3">
      <c r="A7" s="7" t="s">
        <v>9</v>
      </c>
      <c r="B7" s="8">
        <v>6700</v>
      </c>
    </row>
    <row r="8" spans="1:2" x14ac:dyDescent="0.3">
      <c r="A8" s="7" t="s">
        <v>11</v>
      </c>
      <c r="B8" s="8">
        <v>3650</v>
      </c>
    </row>
    <row r="9" spans="1:2" x14ac:dyDescent="0.3">
      <c r="A9" s="7" t="s">
        <v>40</v>
      </c>
      <c r="B9" s="8">
        <v>26890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1D2C0-409D-4AC6-AC28-CCD6D41496E7}">
  <dimension ref="A4:E10"/>
  <sheetViews>
    <sheetView workbookViewId="0">
      <selection activeCell="L22" sqref="L22"/>
    </sheetView>
  </sheetViews>
  <sheetFormatPr defaultRowHeight="14.4" x14ac:dyDescent="0.3"/>
  <cols>
    <col min="1" max="1" width="20.77734375" bestFit="1" customWidth="1"/>
    <col min="2" max="2" width="15.5546875" bestFit="1" customWidth="1"/>
    <col min="3" max="3" width="5" bestFit="1" customWidth="1"/>
    <col min="4" max="4" width="8.77734375" bestFit="1" customWidth="1"/>
    <col min="5" max="5" width="10.5546875" bestFit="1" customWidth="1"/>
    <col min="6" max="6" width="7.44140625" bestFit="1" customWidth="1"/>
    <col min="7" max="7" width="10.5546875" bestFit="1" customWidth="1"/>
  </cols>
  <sheetData>
    <row r="4" spans="1:5" x14ac:dyDescent="0.3">
      <c r="A4" s="6" t="s">
        <v>41</v>
      </c>
      <c r="B4" s="6" t="s">
        <v>44</v>
      </c>
    </row>
    <row r="5" spans="1:5" x14ac:dyDescent="0.3">
      <c r="A5" s="6" t="s">
        <v>39</v>
      </c>
      <c r="B5" t="s">
        <v>5</v>
      </c>
      <c r="C5" t="s">
        <v>14</v>
      </c>
      <c r="D5" t="s">
        <v>9</v>
      </c>
      <c r="E5" t="s">
        <v>40</v>
      </c>
    </row>
    <row r="6" spans="1:5" x14ac:dyDescent="0.3">
      <c r="A6" s="7" t="s">
        <v>48</v>
      </c>
      <c r="B6" s="8">
        <v>6800</v>
      </c>
      <c r="C6" s="8">
        <v>5680</v>
      </c>
      <c r="D6" s="8">
        <v>6700</v>
      </c>
      <c r="E6" s="8">
        <v>19180</v>
      </c>
    </row>
    <row r="7" spans="1:5" x14ac:dyDescent="0.3">
      <c r="A7" s="9" t="s">
        <v>45</v>
      </c>
      <c r="B7" s="8">
        <v>2050</v>
      </c>
      <c r="C7" s="8">
        <v>1680</v>
      </c>
      <c r="D7" s="8">
        <v>2050</v>
      </c>
      <c r="E7" s="8">
        <v>5780</v>
      </c>
    </row>
    <row r="8" spans="1:5" x14ac:dyDescent="0.3">
      <c r="A8" s="9" t="s">
        <v>46</v>
      </c>
      <c r="B8" s="8">
        <v>2350</v>
      </c>
      <c r="C8" s="8">
        <v>1850</v>
      </c>
      <c r="D8" s="8">
        <v>2150</v>
      </c>
      <c r="E8" s="8">
        <v>6350</v>
      </c>
    </row>
    <row r="9" spans="1:5" x14ac:dyDescent="0.3">
      <c r="A9" s="9" t="s">
        <v>47</v>
      </c>
      <c r="B9" s="8">
        <v>2400</v>
      </c>
      <c r="C9" s="8">
        <v>2150</v>
      </c>
      <c r="D9" s="8">
        <v>2500</v>
      </c>
      <c r="E9" s="8">
        <v>7050</v>
      </c>
    </row>
    <row r="10" spans="1:5" x14ac:dyDescent="0.3">
      <c r="A10" s="7" t="s">
        <v>40</v>
      </c>
      <c r="B10" s="8">
        <v>6800</v>
      </c>
      <c r="C10" s="8">
        <v>5680</v>
      </c>
      <c r="D10" s="8">
        <v>6700</v>
      </c>
      <c r="E10" s="8">
        <v>19180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F2473-D651-441C-B3C6-7451E60476F9}">
  <dimension ref="D1:O7"/>
  <sheetViews>
    <sheetView tabSelected="1" zoomScale="73" workbookViewId="0">
      <selection activeCell="R7" sqref="R7"/>
    </sheetView>
  </sheetViews>
  <sheetFormatPr defaultRowHeight="14.4" x14ac:dyDescent="0.3"/>
  <sheetData>
    <row r="1" spans="4:15" x14ac:dyDescent="0.3">
      <c r="D1" s="10" t="s">
        <v>49</v>
      </c>
      <c r="E1" s="10"/>
      <c r="F1" s="10"/>
      <c r="G1" s="10"/>
      <c r="H1" s="10"/>
      <c r="I1" s="10"/>
      <c r="J1" s="10"/>
      <c r="K1" s="10"/>
      <c r="L1" s="10"/>
      <c r="M1" s="10"/>
      <c r="N1" s="10"/>
      <c r="O1" s="10"/>
    </row>
    <row r="2" spans="4:15" x14ac:dyDescent="0.3">
      <c r="D2" s="10"/>
      <c r="E2" s="10"/>
      <c r="F2" s="10"/>
      <c r="G2" s="10"/>
      <c r="H2" s="10"/>
      <c r="I2" s="10"/>
      <c r="J2" s="10"/>
      <c r="K2" s="10"/>
      <c r="L2" s="10"/>
      <c r="M2" s="10"/>
      <c r="N2" s="10"/>
      <c r="O2" s="10"/>
    </row>
    <row r="3" spans="4:15" x14ac:dyDescent="0.3">
      <c r="D3" s="10"/>
      <c r="E3" s="10"/>
      <c r="F3" s="10"/>
      <c r="G3" s="10"/>
      <c r="H3" s="10"/>
      <c r="I3" s="10"/>
      <c r="J3" s="10"/>
      <c r="K3" s="10"/>
      <c r="L3" s="10"/>
      <c r="M3" s="10"/>
      <c r="N3" s="10"/>
      <c r="O3" s="10"/>
    </row>
    <row r="4" spans="4:15" x14ac:dyDescent="0.3">
      <c r="D4" s="10"/>
      <c r="E4" s="10"/>
      <c r="F4" s="10"/>
      <c r="G4" s="10"/>
      <c r="H4" s="10"/>
      <c r="I4" s="10"/>
      <c r="J4" s="10"/>
      <c r="K4" s="10"/>
      <c r="L4" s="10"/>
      <c r="M4" s="10"/>
      <c r="N4" s="10"/>
      <c r="O4" s="10"/>
    </row>
    <row r="5" spans="4:15" x14ac:dyDescent="0.3">
      <c r="D5" s="11" t="s">
        <v>50</v>
      </c>
      <c r="E5" s="11"/>
      <c r="F5" s="11"/>
      <c r="G5" s="11"/>
      <c r="H5" s="11"/>
      <c r="I5" s="11"/>
      <c r="J5" s="11" t="s">
        <v>51</v>
      </c>
      <c r="K5" s="11"/>
      <c r="L5" s="11"/>
      <c r="M5" s="11"/>
      <c r="N5" s="11"/>
      <c r="O5" s="11"/>
    </row>
    <row r="6" spans="4:15" x14ac:dyDescent="0.3">
      <c r="D6" s="11"/>
      <c r="E6" s="11"/>
      <c r="F6" s="11"/>
      <c r="G6" s="11"/>
      <c r="H6" s="11"/>
      <c r="I6" s="11"/>
      <c r="J6" s="11"/>
      <c r="K6" s="11"/>
      <c r="L6" s="11"/>
      <c r="M6" s="11"/>
      <c r="N6" s="11"/>
      <c r="O6" s="11"/>
    </row>
    <row r="7" spans="4:15" x14ac:dyDescent="0.3">
      <c r="D7" s="11"/>
      <c r="E7" s="11"/>
      <c r="F7" s="11"/>
      <c r="G7" s="11"/>
      <c r="H7" s="11"/>
      <c r="I7" s="11"/>
      <c r="J7" s="11"/>
      <c r="K7" s="11"/>
      <c r="L7" s="11"/>
      <c r="M7" s="11"/>
      <c r="N7" s="11"/>
      <c r="O7" s="11"/>
    </row>
  </sheetData>
  <mergeCells count="3">
    <mergeCell ref="D1:O4"/>
    <mergeCell ref="D5:I7"/>
    <mergeCell ref="J5:O7"/>
  </mergeCells>
  <phoneticPr fontId="4"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Banugoriya</dc:creator>
  <cp:lastModifiedBy>Dhruv Banugoriya</cp:lastModifiedBy>
  <dcterms:created xsi:type="dcterms:W3CDTF">2026-10-22T11:49:19Z</dcterms:created>
  <dcterms:modified xsi:type="dcterms:W3CDTF">2026-10-22T12:28:56Z</dcterms:modified>
</cp:coreProperties>
</file>